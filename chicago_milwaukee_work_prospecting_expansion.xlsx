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875" yWindow="1080" windowWidth="15510" windowHeight="10230" tabRatio="600" firstSheet="0" activeTab="3" autoFilterDateGrouping="1"/>
  </bookViews>
  <sheets>
    <sheet xmlns:r="http://schemas.openxmlformats.org/officeDocument/2006/relationships" name="Start_Here" sheetId="1" state="visible" r:id="rId1"/>
    <sheet xmlns:r="http://schemas.openxmlformats.org/officeDocument/2006/relationships" name="Research" sheetId="2" state="visible" r:id="rId2"/>
    <sheet xmlns:r="http://schemas.openxmlformats.org/officeDocument/2006/relationships" name="Existing_Madison" sheetId="3" state="visible" r:id="rId3"/>
    <sheet xmlns:r="http://schemas.openxmlformats.org/officeDocument/2006/relationships" name="MuseSearch" sheetId="4" state="visible" r:id="rId4"/>
    <sheet xmlns:r="http://schemas.openxmlformats.org/officeDocument/2006/relationships" name="Regional_Targets" sheetId="5" state="visible" r:id="rId5"/>
    <sheet xmlns:r="http://schemas.openxmlformats.org/officeDocument/2006/relationships" name="Tracker_Blank" sheetId="6" state="visible" r:id="rId6"/>
    <sheet xmlns:r="http://schemas.openxmlformats.org/officeDocument/2006/relationships" name="Outreach_Template" sheetId="7" state="visible" r:id="rId7"/>
    <sheet xmlns:r="http://schemas.openxmlformats.org/officeDocument/2006/relationships" name="Resources" sheetId="8" state="visible" r:id="rId8"/>
    <sheet xmlns:r="http://schemas.openxmlformats.org/officeDocument/2006/relationships" name="2_Week_Plan" sheetId="9" state="visible" r:id="rId9"/>
  </sheets>
  <definedNames>
    <definedName name="_xlnm._FilterDatabase" localSheetId="3" hidden="1">'MuseSearch'!$A$1:$I$14</definedName>
  </definedNames>
  <calcPr calcId="191029" fullCalcOnLoad="1"/>
</workbook>
</file>

<file path=xl/styles.xml><?xml version="1.0" encoding="utf-8"?>
<styleSheet xmlns="http://schemas.openxmlformats.org/spreadsheetml/2006/main">
  <numFmts count="1">
    <numFmt numFmtId="164" formatCode="yyyy\-mm\-dd"/>
  </numFmts>
  <fonts count="19">
    <font>
      <name val="Carlito"/>
      <sz val="11"/>
    </font>
    <font>
      <name val="Calibri"/>
      <family val="2"/>
      <color theme="1"/>
      <sz val="11"/>
      <scheme val="minor"/>
    </font>
    <font>
      <name val="Calibri"/>
      <family val="2"/>
      <color theme="1"/>
      <sz val="11"/>
      <scheme val="minor"/>
    </font>
    <font>
      <name val="Carlito"/>
      <b val="1"/>
      <color rgb="FFFFFFFF"/>
      <sz val="16"/>
    </font>
    <font>
      <name val="Carlito"/>
      <b val="1"/>
      <color rgb="FFFFFFFF"/>
      <sz val="11"/>
    </font>
    <font>
      <name val="Calibri"/>
      <color rgb="FF000000"/>
      <sz val="11"/>
    </font>
    <font>
      <name val="Calibri"/>
      <color rgb="FF008000"/>
      <sz val="11"/>
    </font>
    <font>
      <name val="Calibri"/>
      <family val="2"/>
      <color rgb="FF008000"/>
      <sz val="11"/>
    </font>
    <font>
      <name val="Calibri"/>
      <b val="1"/>
      <color rgb="FFFFFFFF"/>
      <sz val="11"/>
    </font>
    <font>
      <name val="Calibri"/>
      <family val="2"/>
      <b val="1"/>
      <color rgb="FFFFFFFF"/>
      <sz val="11"/>
    </font>
    <font>
      <name val="Calibri"/>
      <b val="1"/>
      <color rgb="FFFFFFFF"/>
      <sz val="14"/>
    </font>
    <font>
      <name val="Carlito"/>
      <b val="1"/>
      <sz val="11"/>
    </font>
    <font>
      <name val="Carlito"/>
      <b val="1"/>
      <color theme="1"/>
      <sz val="11"/>
    </font>
    <font>
      <name val="Segoe UI"/>
      <family val="2"/>
      <color rgb="FF99C8E5"/>
      <sz val="12"/>
    </font>
    <font>
      <name val="Carlito"/>
      <color theme="10"/>
      <sz val="11"/>
      <u val="single"/>
    </font>
    <font>
      <b val="1"/>
      <color rgb="00FFFFFF"/>
      <sz val="11"/>
    </font>
    <font>
      <color rgb="000563C1"/>
      <u val="single"/>
    </font>
    <font>
      <b val="1"/>
    </font>
    <font>
      <b val="1"/>
      <color rgb="00006100"/>
    </font>
  </fonts>
  <fills count="9">
    <fill>
      <patternFill/>
    </fill>
    <fill>
      <patternFill patternType="gray125"/>
    </fill>
    <fill>
      <patternFill patternType="solid">
        <fgColor rgb="FF0F172A"/>
      </patternFill>
    </fill>
    <fill>
      <patternFill patternType="solid">
        <fgColor rgb="FF1F4E78"/>
      </patternFill>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s>
  <borders count="4">
    <border>
      <left/>
      <right/>
      <top/>
      <bottom/>
      <diagonal/>
    </border>
    <border>
      <left/>
      <right/>
      <top/>
      <bottom/>
      <diagonal/>
    </border>
    <border>
      <left/>
      <right/>
      <top style="double">
        <color theme="4"/>
      </top>
      <bottom style="thin">
        <color theme="4" tint="0.3999755851924192"/>
      </bottom>
      <diagonal/>
    </border>
    <border>
      <left/>
      <right style="thin">
        <color theme="4" tint="0.3999755851924192"/>
      </right>
      <top style="double">
        <color theme="4"/>
      </top>
      <bottom style="thin">
        <color theme="4" tint="0.3999755851924192"/>
      </bottom>
      <diagonal/>
    </border>
  </borders>
  <cellStyleXfs count="3">
    <xf numFmtId="0" fontId="0" fillId="0" borderId="1"/>
    <xf numFmtId="0" fontId="2" fillId="0" borderId="1"/>
    <xf numFmtId="0" fontId="14" fillId="0" borderId="1"/>
  </cellStyleXfs>
  <cellXfs count="46">
    <xf numFmtId="0" fontId="0"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3" borderId="0" applyAlignment="1" pivotButton="0" quotePrefix="0" xfId="0">
      <alignment horizontal="center" vertical="top"/>
    </xf>
    <xf numFmtId="0" fontId="4" fillId="3" borderId="0" applyAlignment="1" pivotButton="0" quotePrefix="0" xfId="0">
      <alignment horizontal="center"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0" fontId="2" fillId="0" borderId="1" pivotButton="0" quotePrefix="0" xfId="1"/>
    <xf numFmtId="0" fontId="2" fillId="0" borderId="1" applyAlignment="1" pivotButton="0" quotePrefix="0" xfId="1">
      <alignment vertical="top" wrapText="1"/>
    </xf>
    <xf numFmtId="164" fontId="5" fillId="0" borderId="1" applyAlignment="1" pivotButton="0" quotePrefix="0" xfId="1">
      <alignment vertical="top" wrapText="1"/>
    </xf>
    <xf numFmtId="164" fontId="2" fillId="0" borderId="1" applyAlignment="1" pivotButton="0" quotePrefix="0" xfId="1">
      <alignment vertical="top" wrapText="1"/>
    </xf>
    <xf numFmtId="0" fontId="6" fillId="0" borderId="1" applyAlignment="1" pivotButton="0" quotePrefix="0" xfId="1">
      <alignment vertical="top" wrapText="1"/>
    </xf>
    <xf numFmtId="0" fontId="7" fillId="0" borderId="1" applyAlignment="1" pivotButton="0" quotePrefix="0" xfId="1">
      <alignment vertical="top" wrapText="1"/>
    </xf>
    <xf numFmtId="0" fontId="8" fillId="3" borderId="1" pivotButton="0" quotePrefix="0" xfId="1"/>
    <xf numFmtId="0" fontId="9" fillId="3" borderId="1" pivotButton="0" quotePrefix="0" xfId="1"/>
    <xf numFmtId="0" fontId="1" fillId="0" borderId="1" applyAlignment="1" pivotButton="0" quotePrefix="0" xfId="1">
      <alignment vertical="top" wrapText="1"/>
    </xf>
    <xf numFmtId="14" fontId="0" fillId="0" borderId="0" pivotButton="0" quotePrefix="0" xfId="0"/>
    <xf numFmtId="0" fontId="11" fillId="0" borderId="0" pivotButton="0" quotePrefix="0" xfId="0"/>
    <xf numFmtId="0" fontId="12" fillId="0" borderId="2" pivotButton="0" quotePrefix="0" xfId="0"/>
    <xf numFmtId="0" fontId="12" fillId="0" borderId="3" pivotButton="0" quotePrefix="0" xfId="0"/>
    <xf numFmtId="14" fontId="11" fillId="0" borderId="0" pivotButton="0" quotePrefix="0" xfId="0"/>
    <xf numFmtId="0" fontId="13" fillId="0" borderId="0" pivotButton="0" quotePrefix="0" xfId="0"/>
    <xf numFmtId="0" fontId="14" fillId="0" borderId="0" pivotButton="0" quotePrefix="0" xfId="2"/>
    <xf numFmtId="0" fontId="11" fillId="0" borderId="0" applyAlignment="1" pivotButton="0" quotePrefix="0" xfId="0">
      <alignment horizontal="right"/>
    </xf>
    <xf numFmtId="14" fontId="0" fillId="0" borderId="0" applyAlignment="1" pivotButton="0" quotePrefix="0" xfId="0">
      <alignment horizontal="right"/>
    </xf>
    <xf numFmtId="14" fontId="12" fillId="0" borderId="2" applyAlignment="1" pivotButton="0" quotePrefix="0" xfId="0">
      <alignment horizontal="right"/>
    </xf>
    <xf numFmtId="14" fontId="11" fillId="0" borderId="0" applyAlignment="1" pivotButton="0" quotePrefix="0" xfId="0">
      <alignment horizontal="right"/>
    </xf>
    <xf numFmtId="0" fontId="3" fillId="2" borderId="0" applyAlignment="1" pivotButton="0" quotePrefix="0" xfId="0">
      <alignment horizontal="center" vertical="top"/>
    </xf>
    <xf numFmtId="0" fontId="4" fillId="3" borderId="0" applyAlignment="1" pivotButton="0" quotePrefix="0" xfId="0">
      <alignment horizontal="center" vertical="top"/>
    </xf>
    <xf numFmtId="0" fontId="0" fillId="0" borderId="0" applyAlignment="1" pivotButton="0" quotePrefix="0" xfId="0">
      <alignment vertical="top"/>
    </xf>
    <xf numFmtId="0" fontId="10" fillId="3" borderId="1" applyAlignment="1" pivotButton="0" quotePrefix="0" xfId="1">
      <alignment horizontal="center"/>
    </xf>
    <xf numFmtId="0" fontId="2" fillId="0" borderId="1" pivotButton="0" quotePrefix="0" xfId="1"/>
    <xf numFmtId="0" fontId="3" fillId="2" borderId="1" applyAlignment="1" pivotButton="0" quotePrefix="0" xfId="0">
      <alignment horizontal="center" vertical="top"/>
    </xf>
    <xf numFmtId="0" fontId="4" fillId="3" borderId="1" applyAlignment="1" pivotButton="0" quotePrefix="0" xfId="0">
      <alignment horizontal="center" vertical="top"/>
    </xf>
    <xf numFmtId="0" fontId="15" fillId="4" borderId="0" applyAlignment="1" pivotButton="0" quotePrefix="0" xfId="0">
      <alignment vertical="center" wrapText="1"/>
    </xf>
    <xf numFmtId="0" fontId="16" fillId="0" borderId="0" applyAlignment="1" pivotButton="0" quotePrefix="0" xfId="0">
      <alignment vertical="top" wrapText="1"/>
    </xf>
    <xf numFmtId="0" fontId="17" fillId="5" borderId="0" applyAlignment="1" pivotButton="0" quotePrefix="0" xfId="0">
      <alignment vertical="top" wrapText="1"/>
    </xf>
    <xf numFmtId="0" fontId="17" fillId="6" borderId="0" applyAlignment="1" pivotButton="0" quotePrefix="0" xfId="0">
      <alignment vertical="top" wrapText="1"/>
    </xf>
    <xf numFmtId="0" fontId="17" fillId="7" borderId="0" applyAlignment="1" pivotButton="0" quotePrefix="0" xfId="0">
      <alignment vertical="top" wrapText="1"/>
    </xf>
    <xf numFmtId="0" fontId="17" fillId="8" borderId="0" applyAlignment="1" pivotButton="0" quotePrefix="0" xfId="0">
      <alignment vertical="top" wrapText="1"/>
    </xf>
    <xf numFmtId="0" fontId="0" fillId="0" borderId="0" applyAlignment="1" pivotButton="0" quotePrefix="0" xfId="0">
      <alignment vertical="top"/>
    </xf>
    <xf numFmtId="0" fontId="18" fillId="5" borderId="0" applyAlignment="1" pivotButton="0" quotePrefix="0" xfId="0">
      <alignment vertical="top"/>
    </xf>
    <xf numFmtId="0" fontId="0" fillId="5" borderId="0" pivotButton="0" quotePrefix="0" xfId="0"/>
    <xf numFmtId="0" fontId="0" fillId="0" borderId="1" pivotButton="0" quotePrefix="0" xfId="0"/>
    <xf numFmtId="0" fontId="0" fillId="5" borderId="1" pivotButton="0" quotePrefix="0" xfId="0"/>
  </cellXfs>
  <cellStyles count="3">
    <cellStyle name="Normal" xfId="0" builtinId="0"/>
    <cellStyle name="Normal 2" xfId="1"/>
    <cellStyle name="Hyperlink" xfId="2" builtinId="8"/>
  </cellStyles>
  <dxfs count="7">
    <dxf>
      <fill>
        <patternFill patternType="solid">
          <bgColor rgb="FFDCFCE7"/>
        </patternFill>
      </fill>
    </dxf>
    <dxf>
      <fill>
        <patternFill patternType="solid">
          <bgColor rgb="FFDBEAFE"/>
        </patternFill>
      </fill>
    </dxf>
    <dxf>
      <fill>
        <patternFill patternType="solid">
          <bgColor rgb="FFF3F4F6"/>
        </patternFill>
      </fill>
    </dxf>
    <dxf>
      <numFmt numFmtId="19" formatCode="m/d/yyyy"/>
      <alignment horizontal="right" vertical="bottom"/>
    </dxf>
    <dxf>
      <numFmt numFmtId="164" formatCode="yyyy\-mm\-dd"/>
      <alignment horizontal="general" vertical="top" wrapText="1"/>
    </dxf>
    <dxf>
      <alignment horizontal="general" vertical="top" wrapText="1"/>
    </dxf>
    <dxf>
      <font>
        <name val="Carlito"/>
        <b val="1"/>
        <strike val="0"/>
        <outline val="0"/>
        <shadow val="0"/>
        <condense val="0"/>
        <color auto="1"/>
        <extend val="0"/>
        <sz val="11"/>
        <vertAlign val="baseli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Regional Prospecting Summary</a:t>
            </a:r>
          </a:p>
        </rich>
      </tx>
      <overlay val="0"/>
    </title>
    <plotArea>
      <layout/>
      <barChart>
        <barDir val="col"/>
        <grouping val="clustered"/>
        <varyColors val="0"/>
        <ser>
          <idx val="0"/>
          <order val="0"/>
          <tx>
            <v>Series 1</v>
          </tx>
          <spPr>
            <a:ln xmlns:a="http://schemas.openxmlformats.org/drawingml/2006/main">
              <a:prstDash val="solid"/>
            </a:ln>
          </spPr>
          <invertIfNegative val="1"/>
          <cat>
            <strRef>
              <f>Start_Here!$A$7:$A$11</f>
              <strCache>
                <ptCount val="5"/>
                <pt idx="0">
                  <v>New regional targets</v>
                </pt>
                <pt idx="1">
                  <v>Chicago targets</v>
                </pt>
                <pt idx="2">
                  <v>Milwaukee targets</v>
                </pt>
                <pt idx="3">
                  <v>Priority 9+ targets</v>
                </pt>
                <pt idx="4">
                  <v>Not contacted</v>
                </pt>
              </strCache>
            </strRef>
          </cat>
          <val>
            <numRef>
              <f>Start_Here!$B$7:$B$11</f>
              <numCache>
                <formatCode>General</formatCode>
                <ptCount val="5"/>
                <pt idx="0">
                  <v>41</v>
                </pt>
                <pt idx="1">
                  <v>14</v>
                </pt>
                <pt idx="2">
                  <v>14</v>
                </pt>
                <pt idx="3">
                  <v>3</v>
                </pt>
                <pt idx="4">
                  <v>25</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3</col>
      <colOff>0</colOff>
      <row>17</row>
      <rowOff>0</rowOff>
    </from>
    <to>
      <col>8</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TrackerTable56" displayName="TrackerTable56" ref="A2:H20" headerRowCount="1">
  <autoFilter ref="A2:H20"/>
  <tableColumns count="8">
    <tableColumn id="1" name="Professor"/>
    <tableColumn id="2" name="Lab"/>
    <tableColumn id="3" name="Research Area"/>
    <tableColumn id="4" name="Date Sent"/>
    <tableColumn id="5" name="Follow-up due"/>
    <tableColumn id="6" name="Response"/>
    <tableColumn id="7" name="Next step"/>
    <tableColumn id="8" name="Notes"/>
  </tableColumns>
  <tableStyleInfo name="TableStyleMedium4" showFirstColumn="0" showLastColumn="0" showRowStripes="1" showColumnStripes="0"/>
</table>
</file>

<file path=xl/tables/table2.xml><?xml version="1.0" encoding="utf-8"?>
<table xmlns="http://schemas.openxmlformats.org/spreadsheetml/2006/main" id="2" name="MadisonCompanies" displayName="MadisonCompanies" ref="A1:P31" headerRowCount="1">
  <tableColumns count="16">
    <tableColumn id="1" name="Company"/>
    <tableColumn id="2" name="City / Area"/>
    <tableColumn id="3" name="Segment"/>
    <tableColumn id="4" name="Why it belongs on your list"/>
    <tableColumn id="5" name="Relevant signal for you"/>
    <tableColumn id="6" name="Digital-design fit (1-5)"/>
    <tableColumn id="7" name="Student access (1-5)"/>
    <tableColumn id="8" name="Priority Score"/>
    <tableColumn id="9" name="Website"/>
    <tableColumn id="10" name="Careers / Contact"/>
    <tableColumn id="11" name="Source 1"/>
    <tableColumn id="12" name="Source 2"/>
    <tableColumn id="13" name="First action"/>
    <tableColumn id="14" name="Outreach status"/>
    <tableColumn id="15" name="Date contacted"/>
    <tableColumn id="16" name="Follow-up due"/>
  </tableColumns>
  <tableStyleInfo name="TableStyleMedium2" showFirstColumn="0" showLastColumn="0" showRowStripes="1" showColumnStripes="0"/>
</table>
</file>

<file path=xl/tables/table3.xml><?xml version="1.0" encoding="utf-8"?>
<table xmlns="http://schemas.openxmlformats.org/spreadsheetml/2006/main" id="3" name="RegionalTargets" displayName="RegionalTargets" ref="A1:U31" headerRowCount="1" totalsRowCount="1">
  <tableColumns count="21">
    <tableColumn id="1" name="Region" totalsRowLabel="Austin" totalsRowDxfId="6"/>
    <tableColumn id="2" name="Company" totalsRowLabel="Base Core power"/>
    <tableColumn id="3" name="City / Area" totalsRowLabel="Austin, TX"/>
    <tableColumn id="4" name="Segment" totalsRowLabel="Hardware engineering internship"/>
    <tableColumn id="5" name="Why it belongs on your list"/>
    <tableColumn id="6" name="Relevant signal for you"/>
    <tableColumn id="7" name="Digital-design fit (1-5)"/>
    <tableColumn id="8" name="Student access (1-5)"/>
    <tableColumn id="9" name="Priority Score"/>
    <tableColumn id="10" name="Website"/>
    <tableColumn id="11" name="Careers / Contact"/>
    <tableColumn id="12" name="Source 1"/>
    <tableColumn id="13" name="Source 2"/>
    <tableColumn id="14" name="First action"/>
    <tableColumn id="15" name="Outreach status" dataDxfId="5"/>
    <tableColumn id="16" name="Date contacted" totalsRowLabel="8/5/2026" dataDxfId="4" totalsRowDxfId="3"/>
    <tableColumn id="17" name="RESPONSE"/>
    <tableColumn id="18" name="Role keywords to search"/>
    <tableColumn id="19" name="Contact target"/>
    <tableColumn id="20" name="Notes"/>
    <tableColumn id="21" name="Column1" totalsRowLabel="applied to internship"/>
  </tableColumns>
  <tableStyleInfo name="TableStyleMedium2" showFirstColumn="0" showLastColumn="0" showRowStripes="1" showColumnStripes="0"/>
</table>
</file>

<file path=xl/tables/table4.xml><?xml version="1.0" encoding="utf-8"?>
<table xmlns="http://schemas.openxmlformats.org/spreadsheetml/2006/main" id="4" name="OutreachTracker" displayName="OutreachTracker" ref="A1:I29" headerRowCount="1">
  <tableColumns count="9">
    <tableColumn id="1" name="Company"/>
    <tableColumn id="2" name="Region"/>
    <tableColumn id="3" name="Contact / role"/>
    <tableColumn id="4" name="Where found"/>
    <tableColumn id="5" name="Date sent"/>
    <tableColumn id="6" name="Follow-up due"/>
    <tableColumn id="7" name="Response"/>
    <tableColumn id="8" name="Next step"/>
    <tableColumn id="9" name="Notes"/>
  </tableColumns>
  <tableStyleInfo name="TableStyleMedium2" showFirstColumn="0" showLastColumn="0" showRowStripes="1" showColumnStripes="0"/>
</table>
</file>

<file path=xl/tables/table5.xml><?xml version="1.0" encoding="utf-8"?>
<table xmlns="http://schemas.openxmlformats.org/spreadsheetml/2006/main" id="5" name="ResourcesTable" displayName="ResourcesTable" ref="A1:C11" headerRowCount="1">
  <tableColumns count="3">
    <tableColumn id="1" name="Resource"/>
    <tableColumn id="2" name="Why it matters"/>
    <tableColumn id="3" name="URL / Search string"/>
  </tableColumns>
  <tableStyleInfo name="TableStyleMedium2" showFirstColumn="0" showLastColumn="0" showRowStripes="1" showColumnStripes="0"/>
</table>
</file>

<file path=xl/tables/table6.xml><?xml version="1.0" encoding="utf-8"?>
<table xmlns="http://schemas.openxmlformats.org/spreadsheetml/2006/main" id="6" name="TwoWeekPlan" displayName="TwoWeekPlan" ref="A1:F15" headerRowCount="1">
  <tableColumns count="6">
    <tableColumn id="1" name="Day"/>
    <tableColumn id="2" name="Theme"/>
    <tableColumn id="3" name="Action"/>
    <tableColumn id="4" name="Output"/>
    <tableColumn id="5" name="Done?"/>
    <tableColumn id="6"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www.metacareers.com/jobs/1406976394946562" TargetMode="External" Id="rId1"/><Relationship Type="http://schemas.openxmlformats.org/officeDocument/2006/relationships/hyperlink" Target="https://www.metacareers.com/jobs/1079763448023260" TargetMode="External" Id="rId2"/><Relationship Type="http://schemas.openxmlformats.org/officeDocument/2006/relationships/hyperlink" Target="https://job-boards.greenhouse.io/tenstorrentuniversity/jobs/5256706007" TargetMode="External" Id="rId3"/><Relationship Type="http://schemas.openxmlformats.org/officeDocument/2006/relationships/hyperlink" Target="https://globalfoundries.wd1.myworkdayjobs.com/en-US/External/job/USA---California---Santa-Clara/Foundation-IP-Design-Verification-Intern--Summer-2027-_JR-2604356/apply/applyManually" TargetMode="External" Id="rId4"/><Relationship Type="http://schemas.openxmlformats.org/officeDocument/2006/relationships/hyperlink" Target="https://careers.hpe.com (Job ID 1214219)" TargetMode="External" Id="rId5"/><Relationship Type="http://schemas.openxmlformats.org/officeDocument/2006/relationships/hyperlink" Target="https://careers.hpe.com (Job ID 1214034)" TargetMode="External" Id="rId6"/><Relationship Type="http://schemas.openxmlformats.org/officeDocument/2006/relationships/hyperlink" Target="https://amazon.jobs/en/jobs/10578090/hardware-development-engineer-intern-summer-2027" TargetMode="External" Id="rId7"/><Relationship Type="http://schemas.openxmlformats.org/officeDocument/2006/relationships/hyperlink" Target="https://www.metacareers.com/jobs/1096213456288397" TargetMode="External" Id="rId8"/><Relationship Type="http://schemas.openxmlformats.org/officeDocument/2006/relationships/hyperlink" Target="https://www.metacareers.com/jobs/29216393121298039" TargetMode="External" Id="rId9"/><Relationship Type="http://schemas.openxmlformats.org/officeDocument/2006/relationships/hyperlink" Target="https://jobs.eu.lever.co/cirrus/0310fbd1-a2a8-4c0f-a842-86e05ae7d98e/apply" TargetMode="External" Id="rId10"/><Relationship Type="http://schemas.openxmlformats.org/officeDocument/2006/relationships/hyperlink" Target="https://job-boards.greenhouse.io/asteraearlycareer2027/jobs/4722012005" TargetMode="External" Id="rId11"/><Relationship Type="http://schemas.openxmlformats.org/officeDocument/2006/relationships/hyperlink" Target="https://job-boards.greenhouse.io/asteraearlycareer2027/jobs/4731407005" TargetMode="External" Id="rId12"/><Relationship Type="http://schemas.openxmlformats.org/officeDocument/2006/relationships/hyperlink" Target="https://jobs.ashbyhq.com/meter/a5f1e4c3-2930-4933-ab38-8f600486494b/application?embed=true" TargetMode="External" Id="rId13"/><Relationship Type="http://schemas.openxmlformats.org/officeDocument/2006/relationships/hyperlink" Target="https://job-boards.greenhouse.io/tenstorrentuniversity/jobs/5256691007" TargetMode="External" Id="rId14"/><Relationship Type="http://schemas.openxmlformats.org/officeDocument/2006/relationships/hyperlink" Target="https://amazon.jobs/en/jobs/10535282" TargetMode="External" Id="rId15"/><Relationship Type="http://schemas.openxmlformats.org/officeDocument/2006/relationships/hyperlink" Target="https://www.hudsonrivertrading.com/hrt-job/hardware-design-engineer-2027-grads/" TargetMode="External" Id="rId16"/></Relationships>
</file>

<file path=xl/worksheets/_rels/sheet5.xml.rels><Relationships xmlns="http://schemas.openxmlformats.org/package/2006/relationships"><Relationship Type="http://schemas.openxmlformats.org/officeDocument/2006/relationships/hyperlink" Target="https://app.tealhq.com/ai-job-search" TargetMode="Externa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H27"/>
  <sheetViews>
    <sheetView zoomScale="85" zoomScaleNormal="85" workbookViewId="0">
      <selection activeCell="C8" sqref="C8"/>
    </sheetView>
  </sheetViews>
  <sheetFormatPr baseColWidth="8" defaultRowHeight="14.25"/>
  <cols>
    <col width="22" customWidth="1" min="1" max="1"/>
    <col width="18" customWidth="1" min="2" max="2"/>
    <col width="28" customWidth="1" min="3" max="3"/>
    <col width="36" customWidth="1" min="4" max="4"/>
    <col width="10" customWidth="1" min="5" max="8"/>
  </cols>
  <sheetData>
    <row r="1" ht="19.15" customHeight="1">
      <c r="A1" s="33" t="inlineStr">
        <is>
          <t>Chicago + Milwaukee Work Prospecting Expansion</t>
        </is>
      </c>
    </row>
    <row r="2" ht="15" customHeight="1">
      <c r="A2" s="41" t="inlineStr">
        <is>
          <t>Generated</t>
        </is>
      </c>
      <c r="B2" s="41" t="n">
        <v>46176</v>
      </c>
      <c r="C2" s="41" t="n"/>
      <c r="D2" s="41" t="n"/>
      <c r="E2" s="41" t="n"/>
      <c r="F2" s="41" t="n"/>
      <c r="G2" s="41" t="n"/>
      <c r="H2" s="41" t="n"/>
    </row>
    <row r="3" ht="15" customHeight="1">
      <c r="A3" s="41" t="n"/>
      <c r="B3" s="41" t="n"/>
      <c r="C3" s="41" t="n"/>
      <c r="D3" s="41" t="n"/>
      <c r="E3" s="41" t="n"/>
      <c r="F3" s="41" t="n"/>
      <c r="G3" s="41" t="n"/>
      <c r="H3" s="41" t="n"/>
    </row>
    <row r="4" ht="79.15000000000001" customHeight="1">
      <c r="A4" s="3" t="inlineStr">
        <is>
          <t>Purpose</t>
        </is>
      </c>
      <c r="B4" s="3" t="inlineStr">
        <is>
          <t>Expand Adam's hardware / embedded / FPGA / digital-design job board beyond Madison into Chicago and Milwaukee.</t>
        </is>
      </c>
      <c r="C4" s="3" t="n"/>
      <c r="D4" s="3" t="n"/>
      <c r="E4" s="3" t="n"/>
      <c r="F4" s="3" t="n"/>
      <c r="G4" s="3" t="n"/>
      <c r="H4" s="3" t="n"/>
    </row>
    <row r="5" ht="15" customHeight="1">
      <c r="A5" s="41" t="n"/>
      <c r="B5" s="41" t="n"/>
      <c r="C5" s="41" t="n"/>
      <c r="D5" s="41" t="n"/>
      <c r="E5" s="41" t="n"/>
      <c r="F5" s="41" t="n"/>
      <c r="G5" s="41" t="n"/>
      <c r="H5" s="41" t="n"/>
    </row>
    <row r="6" ht="15" customHeight="1">
      <c r="A6" s="29" t="inlineStr">
        <is>
          <t>Metric</t>
        </is>
      </c>
      <c r="B6" s="29" t="inlineStr">
        <is>
          <t>Formula</t>
        </is>
      </c>
      <c r="C6" s="41" t="n"/>
      <c r="D6" s="34" t="inlineStr">
        <is>
          <t>Read this first</t>
        </is>
      </c>
    </row>
    <row r="7" ht="105.6" customHeight="1">
      <c r="A7" s="41" t="inlineStr">
        <is>
          <t>New regional targets</t>
        </is>
      </c>
      <c r="B7" s="41">
        <f>COUNTA(Regional_Targets!B2:B101)</f>
        <v/>
      </c>
      <c r="C7" s="41" t="n"/>
      <c r="D7" s="3" t="inlineStr">
        <is>
          <t>Best Milwaukee wave</t>
        </is>
      </c>
      <c r="E7" s="3" t="inlineStr">
        <is>
          <t>Rockwell Automation, Milwaukee Tool, Generac, Astronautics, GE HealthCare</t>
        </is>
      </c>
      <c r="F7" s="3" t="n"/>
      <c r="G7" s="3" t="n"/>
      <c r="H7" s="3" t="n"/>
    </row>
    <row r="8" ht="105.6" customHeight="1">
      <c r="A8" s="41" t="inlineStr">
        <is>
          <t>Chicago targets</t>
        </is>
      </c>
      <c r="B8" s="41">
        <f>COUNTIF(Regional_Targets!A2:A101,"Chicago")</f>
        <v/>
      </c>
      <c r="C8" s="41" t="n"/>
      <c r="D8" s="3" t="inlineStr">
        <is>
          <t>Best Chicago wave</t>
        </is>
      </c>
      <c r="E8" s="3" t="inlineStr">
        <is>
          <t>Motorola Solutions, Northrop Grumman, Molex, Shure, Argonne/Fermilab</t>
        </is>
      </c>
      <c r="F8" s="3" t="n"/>
      <c r="G8" s="3" t="n"/>
      <c r="H8" s="3" t="n"/>
    </row>
    <row r="9" ht="118.9" customHeight="1">
      <c r="A9" s="41" t="inlineStr">
        <is>
          <t>Milwaukee targets</t>
        </is>
      </c>
      <c r="B9" s="41">
        <f>COUNTIF(Regional_Targets!A2:A101,"Milwaukee")</f>
        <v/>
      </c>
      <c r="C9" s="41" t="n"/>
      <c r="D9" s="3" t="inlineStr">
        <is>
          <t>Best pure job-market move</t>
        </is>
      </c>
      <c r="E9" s="3" t="inlineStr">
        <is>
          <t>Apply where roles exist, then message engineers with one specific technical hook.</t>
        </is>
      </c>
      <c r="F9" s="3" t="n"/>
      <c r="G9" s="3" t="n"/>
      <c r="H9" s="3" t="n"/>
    </row>
    <row r="10" ht="118.9" customHeight="1">
      <c r="A10" s="41" t="inlineStr">
        <is>
          <t>Priority 9+ targets</t>
        </is>
      </c>
      <c r="B10" s="41">
        <f>COUNTIF(Regional_Targets!I2:I101,"&gt;=9")</f>
        <v/>
      </c>
      <c r="C10" s="41" t="n"/>
      <c r="D10" s="3" t="inlineStr">
        <is>
          <t>Best network move</t>
        </is>
      </c>
      <c r="E10" s="3" t="inlineStr">
        <is>
          <t>mHUB, Argonne, Fermilab, UW/MSOE/LinkedIn alumni, and company-specific engineers.</t>
        </is>
      </c>
      <c r="F10" s="3" t="n"/>
      <c r="G10" s="3" t="n"/>
      <c r="H10" s="3" t="n"/>
    </row>
    <row r="11" ht="118.9" customHeight="1">
      <c r="A11" s="41" t="inlineStr">
        <is>
          <t>Not contacted</t>
        </is>
      </c>
      <c r="B11" s="41">
        <f>COUNTIF(Regional_Targets!O2:O101,"Not contacted")</f>
        <v/>
      </c>
      <c r="C11" s="41" t="n"/>
      <c r="D11" s="3" t="inlineStr">
        <is>
          <t>Keyword base</t>
        </is>
      </c>
      <c r="E11" s="3" t="inlineStr">
        <is>
          <t>embedded, firmware, FPGA, RTL, electrical, validation, test, controls, power electronics.</t>
        </is>
      </c>
      <c r="F11" s="3" t="n"/>
      <c r="G11" s="3" t="n"/>
      <c r="H11" s="3" t="n"/>
    </row>
    <row r="12" ht="118.9" customHeight="1">
      <c r="A12" s="41" t="n"/>
      <c r="B12" s="41" t="n"/>
      <c r="C12" s="41" t="n"/>
      <c r="D12" s="3" t="inlineStr">
        <is>
          <t>Rule</t>
        </is>
      </c>
      <c r="E12" s="3" t="inlineStr">
        <is>
          <t>Do not wait for perfect fit. Hardware test / validation / controls can be a path into design.</t>
        </is>
      </c>
      <c r="F12" s="3" t="n"/>
      <c r="G12" s="3" t="n"/>
      <c r="H12" s="3" t="n"/>
    </row>
    <row r="13" ht="92.45" customHeight="1">
      <c r="A13" s="41" t="n"/>
      <c r="B13" s="41" t="n"/>
      <c r="C13" s="41" t="n"/>
      <c r="D13" s="3" t="inlineStr">
        <is>
          <t>Weekly quota</t>
        </is>
      </c>
      <c r="E13" s="3" t="inlineStr">
        <is>
          <t>Apply to 5 real roles + send 8 targeted messages + log every interaction.</t>
        </is>
      </c>
      <c r="F13" s="3" t="n"/>
      <c r="G13" s="3" t="n"/>
      <c r="H13" s="3" t="n"/>
    </row>
    <row r="14" ht="118.9" customHeight="1">
      <c r="A14" s="41" t="n"/>
      <c r="B14" s="41" t="n"/>
      <c r="C14" s="41" t="n"/>
      <c r="D14" s="3" t="inlineStr">
        <is>
          <t>Follow-up rule</t>
        </is>
      </c>
      <c r="E14" s="3" t="inlineStr">
        <is>
          <t>Follow up seven days after outreach unless the role is closed or they answer.</t>
        </is>
      </c>
      <c r="F14" s="3" t="n"/>
      <c r="G14" s="3" t="n"/>
      <c r="H14" s="3" t="n"/>
    </row>
    <row r="15" ht="105.6" customHeight="1">
      <c r="A15" s="41" t="n"/>
      <c r="B15" s="41" t="n"/>
      <c r="C15" s="41" t="n"/>
      <c r="D15" s="3" t="inlineStr">
        <is>
          <t>Reality check</t>
        </is>
      </c>
      <c r="E15" s="3" t="inlineStr">
        <is>
          <t>Chicago is broader but logistically harder; Milwaukee is closer and surprisingly aligned.</t>
        </is>
      </c>
      <c r="F15" s="3" t="n"/>
      <c r="G15" s="3" t="n"/>
      <c r="H15" s="3" t="n"/>
    </row>
    <row r="16" ht="15" customHeight="1">
      <c r="A16" s="41" t="n"/>
      <c r="B16" s="41" t="n"/>
      <c r="C16" s="41" t="n"/>
      <c r="D16" s="3" t="n"/>
      <c r="E16" s="3" t="n"/>
      <c r="F16" s="3" t="n"/>
      <c r="G16" s="3" t="n"/>
      <c r="H16" s="3" t="n"/>
    </row>
    <row r="17" ht="15" customHeight="1">
      <c r="A17" s="41" t="n"/>
      <c r="B17" s="41" t="n"/>
      <c r="C17" s="41" t="n"/>
      <c r="D17" s="41" t="n"/>
      <c r="E17" s="41" t="n"/>
      <c r="F17" s="41" t="n"/>
      <c r="G17" s="41" t="n"/>
      <c r="H17" s="41" t="n"/>
    </row>
    <row r="18" ht="15" customHeight="1">
      <c r="A18" s="5" t="inlineStr">
        <is>
          <t>First 10 companies to hit</t>
        </is>
      </c>
      <c r="B18" s="5" t="inlineStr">
        <is>
          <t>Region</t>
        </is>
      </c>
      <c r="C18" s="5" t="inlineStr">
        <is>
          <t>Why</t>
        </is>
      </c>
      <c r="D18" s="5" t="inlineStr">
        <is>
          <t>Action</t>
        </is>
      </c>
      <c r="E18" s="5" t="n"/>
      <c r="F18" s="5" t="n"/>
      <c r="G18" s="5" t="n"/>
      <c r="H18" s="5" t="n"/>
    </row>
    <row r="19" ht="26.45" customHeight="1">
      <c r="A19" s="3" t="inlineStr">
        <is>
          <t>Rockwell Automation</t>
        </is>
      </c>
      <c r="B19" s="3" t="inlineStr">
        <is>
          <t>Milwaukee</t>
        </is>
      </c>
      <c r="C19" s="3" t="inlineStr">
        <is>
          <t>Best controls/industrial automation fit.</t>
        </is>
      </c>
      <c r="D19" s="3" t="inlineStr">
        <is>
          <t>Search hardware/firmware/controls and apply.</t>
        </is>
      </c>
      <c r="E19" s="3" t="n"/>
      <c r="F19" s="3" t="n"/>
      <c r="G19" s="3" t="n"/>
      <c r="H19" s="3" t="n"/>
    </row>
    <row r="20" ht="39.6" customHeight="1">
      <c r="A20" s="3" t="inlineStr">
        <is>
          <t>Milwaukee Tool</t>
        </is>
      </c>
      <c r="B20" s="3" t="inlineStr">
        <is>
          <t>Milwaukee</t>
        </is>
      </c>
      <c r="C20" s="3" t="inlineStr">
        <is>
          <t>Best embedded/power electronics/motor-control product fit.</t>
        </is>
      </c>
      <c r="D20" s="3" t="inlineStr">
        <is>
          <t>Search firmware/electrical/internship/co-op.</t>
        </is>
      </c>
      <c r="E20" s="3" t="n"/>
      <c r="F20" s="3" t="n"/>
      <c r="G20" s="3" t="n"/>
      <c r="H20" s="3" t="n"/>
    </row>
    <row r="21" ht="26.45" customHeight="1">
      <c r="A21" s="3" t="inlineStr">
        <is>
          <t>Motorola Solutions</t>
        </is>
      </c>
      <c r="B21" s="3" t="inlineStr">
        <is>
          <t>Chicago</t>
        </is>
      </c>
      <c r="C21" s="3" t="inlineStr">
        <is>
          <t>Best communications + embedded/FPGA Chicago target.</t>
        </is>
      </c>
      <c r="D21" s="3" t="inlineStr">
        <is>
          <t>Search Schaumburg FPGA/embedded.</t>
        </is>
      </c>
      <c r="E21" s="3" t="n"/>
      <c r="F21" s="3" t="n"/>
      <c r="G21" s="3" t="n"/>
      <c r="H21" s="3" t="n"/>
    </row>
    <row r="22" ht="26.45" customHeight="1">
      <c r="A22" s="3" t="inlineStr">
        <is>
          <t>Northrop Grumman</t>
        </is>
      </c>
      <c r="B22" s="3" t="inlineStr">
        <is>
          <t>Chicago</t>
        </is>
      </c>
      <c r="C22" s="3" t="inlineStr">
        <is>
          <t>Serious RF/electronic warfare hardware.</t>
        </is>
      </c>
      <c r="D22" s="3" t="inlineStr">
        <is>
          <t>Search Rolling Meadows engineering.</t>
        </is>
      </c>
      <c r="E22" s="3" t="n"/>
      <c r="F22" s="3" t="n"/>
      <c r="G22" s="3" t="n"/>
      <c r="H22" s="3" t="n"/>
    </row>
    <row r="23" ht="26.45" customHeight="1">
      <c r="A23" s="3" t="inlineStr">
        <is>
          <t>Generac</t>
        </is>
      </c>
      <c r="B23" s="3" t="inlineStr">
        <is>
          <t>Milwaukee</t>
        </is>
      </c>
      <c r="C23" s="3" t="inlineStr">
        <is>
          <t>Power systems + embedded controls.</t>
        </is>
      </c>
      <c r="D23" s="3" t="inlineStr">
        <is>
          <t>Search firmware/validation/power electronics.</t>
        </is>
      </c>
      <c r="E23" s="3" t="n"/>
      <c r="F23" s="3" t="n"/>
      <c r="G23" s="3" t="n"/>
      <c r="H23" s="3" t="n"/>
    </row>
    <row r="24" ht="26.45" customHeight="1">
      <c r="A24" s="3" t="inlineStr">
        <is>
          <t>Astronautics</t>
        </is>
      </c>
      <c r="B24" s="3" t="inlineStr">
        <is>
          <t>Milwaukee</t>
        </is>
      </c>
      <c r="C24" s="3" t="inlineStr">
        <is>
          <t>Avionics + safety-critical embedded systems.</t>
        </is>
      </c>
      <c r="D24" s="3" t="inlineStr">
        <is>
          <t>Search avionics software/systems.</t>
        </is>
      </c>
      <c r="E24" s="3" t="n"/>
      <c r="F24" s="3" t="n"/>
      <c r="G24" s="3" t="n"/>
      <c r="H24" s="3" t="n"/>
    </row>
    <row r="25" ht="26.45" customHeight="1">
      <c r="A25" s="3" t="inlineStr">
        <is>
          <t>Molex</t>
        </is>
      </c>
      <c r="B25" s="3" t="inlineStr">
        <is>
          <t>Chicago</t>
        </is>
      </c>
      <c r="C25" s="3" t="inlineStr">
        <is>
          <t>Chip-adjacent electronics/interconnect.</t>
        </is>
      </c>
      <c r="D25" s="3" t="inlineStr">
        <is>
          <t>Search electrical/validation/signal integrity.</t>
        </is>
      </c>
      <c r="E25" s="3" t="n"/>
      <c r="F25" s="3" t="n"/>
      <c r="G25" s="3" t="n"/>
      <c r="H25" s="3" t="n"/>
    </row>
    <row r="26" ht="15" customHeight="1">
      <c r="A26" s="3" t="inlineStr">
        <is>
          <t>Shure</t>
        </is>
      </c>
      <c r="B26" s="3" t="inlineStr">
        <is>
          <t>Chicago</t>
        </is>
      </c>
      <c r="C26" s="3" t="inlineStr">
        <is>
          <t>Wireless audio + firmware/RF/DSP.</t>
        </is>
      </c>
      <c r="D26" s="3" t="inlineStr">
        <is>
          <t>Search firmware/DSP/RF internships.</t>
        </is>
      </c>
      <c r="E26" s="3" t="n"/>
      <c r="F26" s="3" t="n"/>
      <c r="G26" s="3" t="n"/>
      <c r="H26" s="3" t="n"/>
    </row>
    <row r="27" ht="15" customHeight="1">
      <c r="A27" t="inlineStr">
        <is>
          <t>GE HealthCare</t>
        </is>
      </c>
      <c r="B27" t="inlineStr">
        <is>
          <t>Milwaukee</t>
        </is>
      </c>
      <c r="C27" t="inlineStr">
        <is>
          <t>Medical imaging systems/software/hardware.</t>
        </is>
      </c>
      <c r="D27" t="inlineStr">
        <is>
          <t>Search Waukesha engineering.</t>
        </is>
      </c>
    </row>
  </sheetData>
  <mergeCells count="2">
    <mergeCell ref="D6:H6"/>
    <mergeCell ref="A1:H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0"/>
  <sheetViews>
    <sheetView topLeftCell="C1" zoomScale="85" zoomScaleNormal="85" workbookViewId="0">
      <selection activeCell="H5" sqref="H5"/>
    </sheetView>
  </sheetViews>
  <sheetFormatPr baseColWidth="8" defaultColWidth="9" defaultRowHeight="15"/>
  <cols>
    <col width="26.25" customWidth="1" style="32" min="1" max="1"/>
    <col width="21" customWidth="1" style="32" min="2" max="2"/>
    <col width="15.75" customWidth="1" style="32" min="3" max="3"/>
    <col width="10.5" customWidth="1" style="32" min="4" max="5"/>
    <col width="12.25" customWidth="1" style="32" min="6" max="6"/>
    <col width="24.5" customWidth="1" style="32" min="7" max="7"/>
    <col width="67" customWidth="1" style="32" min="8" max="8"/>
    <col width="9" customWidth="1" style="32" min="9" max="16384"/>
  </cols>
  <sheetData>
    <row r="1" ht="18.75" customHeight="1">
      <c r="A1" s="31" t="inlineStr">
        <is>
          <t>Outreach tracker</t>
        </is>
      </c>
    </row>
    <row r="2">
      <c r="A2" s="15" t="inlineStr">
        <is>
          <t>Professor</t>
        </is>
      </c>
      <c r="B2" s="15" t="inlineStr">
        <is>
          <t>Lab</t>
        </is>
      </c>
      <c r="C2" s="15" t="inlineStr">
        <is>
          <t>Research Area</t>
        </is>
      </c>
      <c r="D2" s="15" t="inlineStr">
        <is>
          <t>Date Sent</t>
        </is>
      </c>
      <c r="E2" s="14" t="inlineStr">
        <is>
          <t>Follow-up due</t>
        </is>
      </c>
      <c r="F2" s="14" t="inlineStr">
        <is>
          <t>Response</t>
        </is>
      </c>
      <c r="G2" s="14" t="inlineStr">
        <is>
          <t>Next step</t>
        </is>
      </c>
      <c r="H2" s="14" t="inlineStr">
        <is>
          <t>Notes</t>
        </is>
      </c>
    </row>
    <row r="3" ht="30" customHeight="1">
      <c r="A3" s="13" t="inlineStr">
        <is>
          <t>Parmesh Ramanathan</t>
        </is>
      </c>
      <c r="B3" s="32" t="inlineStr">
        <is>
          <t>N/A</t>
        </is>
      </c>
      <c r="C3" s="9" t="inlineStr">
        <is>
          <t>General</t>
        </is>
      </c>
      <c r="D3" s="11" t="n">
        <v>46174</v>
      </c>
      <c r="E3" s="10" t="n"/>
      <c r="F3" s="9" t="inlineStr">
        <is>
          <t>No reply yet</t>
        </is>
      </c>
      <c r="G3" s="9" t="inlineStr">
        <is>
          <t>wait for reply</t>
        </is>
      </c>
      <c r="H3" s="9" t="inlineStr">
        <is>
          <t>Asked for general info; instant response. Following up is of chief importance. Schedule the meeting.</t>
        </is>
      </c>
    </row>
    <row r="4" ht="60" customHeight="1">
      <c r="A4" s="13" t="inlineStr">
        <is>
          <t>Daniel Van Der Weide</t>
        </is>
      </c>
      <c r="B4" s="32" t="inlineStr">
        <is>
          <t>N/A</t>
        </is>
      </c>
      <c r="C4" s="9" t="inlineStr">
        <is>
          <t>General</t>
        </is>
      </c>
      <c r="D4" s="11" t="inlineStr">
        <is>
          <t>5/2/2026, 06/01/2026</t>
        </is>
      </c>
      <c r="E4" s="10" t="n"/>
      <c r="F4" s="9" t="inlineStr">
        <is>
          <t>No reply yet</t>
        </is>
      </c>
      <c r="G4" s="9" t="inlineStr">
        <is>
          <t>wait for reply</t>
        </is>
      </c>
      <c r="H4" s="16" t="inlineStr">
        <is>
          <t>General info, no reply followed up. W, cc follow up from Rob Marshland, should meet up with him for coffee at some point. Met up for coffee, utter chiller. Could do some pcb and embedded work for him and continue my research on the photonic space. Good opportunity, nothin better to do afterall.</t>
        </is>
      </c>
    </row>
    <row r="5">
      <c r="A5" s="13" t="inlineStr">
        <is>
          <t>Tsung Wei-Huang</t>
        </is>
      </c>
      <c r="B5" s="9" t="inlineStr">
        <is>
          <t>n/A</t>
        </is>
      </c>
      <c r="C5" s="9" t="inlineStr">
        <is>
          <t>General</t>
        </is>
      </c>
      <c r="D5" s="11" t="n">
        <v>46174</v>
      </c>
      <c r="E5" s="10">
        <f>IF(D5&lt;&gt;"",D5+7,"")</f>
        <v/>
      </c>
      <c r="F5" s="9" t="inlineStr">
        <is>
          <t>No reply yet</t>
        </is>
      </c>
      <c r="G5" s="9" t="inlineStr">
        <is>
          <t>wait for reply</t>
        </is>
      </c>
      <c r="H5" s="9" t="inlineStr">
        <is>
          <t>My advisor; following up on the third email</t>
        </is>
      </c>
    </row>
    <row r="6">
      <c r="A6" s="13" t="inlineStr">
        <is>
          <t>Julie Hsiao</t>
        </is>
      </c>
      <c r="B6" s="32" t="inlineStr">
        <is>
          <t>N/A</t>
        </is>
      </c>
      <c r="C6" s="9" t="inlineStr">
        <is>
          <t>General</t>
        </is>
      </c>
      <c r="D6" s="11" t="n">
        <v>46174</v>
      </c>
      <c r="E6" s="10">
        <f>IF(D6&lt;&gt;"",D6+7,"")</f>
        <v/>
      </c>
      <c r="F6" s="9" t="inlineStr">
        <is>
          <t>No reply yet</t>
        </is>
      </c>
      <c r="G6" s="9" t="inlineStr">
        <is>
          <t>wait for reply</t>
        </is>
      </c>
      <c r="H6" s="9" t="inlineStr">
        <is>
          <t>General info, I imagine I'll get a reply.</t>
        </is>
      </c>
    </row>
    <row r="7">
      <c r="A7" s="13" t="inlineStr">
        <is>
          <t>Georgios Tzimpragoz</t>
        </is>
      </c>
      <c r="B7" s="32" t="inlineStr">
        <is>
          <t>N/A</t>
        </is>
      </c>
      <c r="C7" s="9" t="inlineStr">
        <is>
          <t>General</t>
        </is>
      </c>
      <c r="D7" s="11" t="n">
        <v>46174</v>
      </c>
      <c r="E7" s="10">
        <f>IF(D7&lt;&gt;"",D7+7,"")</f>
        <v/>
      </c>
      <c r="F7" s="9" t="inlineStr">
        <is>
          <t>No reply yet</t>
        </is>
      </c>
      <c r="G7" s="9" t="inlineStr">
        <is>
          <t>wait for reply</t>
        </is>
      </c>
      <c r="H7" s="32" t="inlineStr">
        <is>
          <t>CompArch; research area unclear.</t>
        </is>
      </c>
    </row>
    <row r="8">
      <c r="A8" s="13" t="inlineStr">
        <is>
          <t>Joshua San Miguel</t>
        </is>
      </c>
      <c r="B8" s="32" t="inlineStr">
        <is>
          <t>N/A</t>
        </is>
      </c>
      <c r="C8" s="9" t="inlineStr">
        <is>
          <t>General</t>
        </is>
      </c>
      <c r="D8" s="11" t="n">
        <v>46174</v>
      </c>
      <c r="E8" s="10">
        <f>IF(D8&lt;&gt;"",D8+7,"")</f>
        <v/>
      </c>
      <c r="F8" s="9" t="inlineStr">
        <is>
          <t>No reply yet</t>
        </is>
      </c>
      <c r="G8" s="9" t="inlineStr">
        <is>
          <t>wait for reply</t>
        </is>
      </c>
      <c r="H8" s="9" t="inlineStr">
        <is>
          <t>W guy, just lookin for info.</t>
        </is>
      </c>
    </row>
    <row r="9">
      <c r="A9" s="13" t="inlineStr">
        <is>
          <t>Azadeh Davoodi</t>
        </is>
      </c>
      <c r="B9" s="32" t="inlineStr">
        <is>
          <t>N/A</t>
        </is>
      </c>
      <c r="C9" s="9" t="inlineStr">
        <is>
          <t>General</t>
        </is>
      </c>
      <c r="D9" s="11" t="n">
        <v>46174</v>
      </c>
      <c r="E9" s="10">
        <f>IF(D9&lt;&gt;"",D9+7,"")</f>
        <v/>
      </c>
      <c r="F9" s="9" t="inlineStr">
        <is>
          <t>No reply yet</t>
        </is>
      </c>
      <c r="G9" s="9" t="inlineStr">
        <is>
          <t>wait for reply</t>
        </is>
      </c>
      <c r="H9" s="9" t="inlineStr">
        <is>
          <t>Undergraduate studies chair, js lookin for info atm</t>
        </is>
      </c>
    </row>
    <row r="10">
      <c r="A10" s="12" t="n"/>
      <c r="B10" s="9" t="n"/>
      <c r="C10" s="9" t="n"/>
      <c r="D10" s="11" t="n"/>
      <c r="E10" s="10">
        <f>IF(D10&lt;&gt;"",D10+7,"")</f>
        <v/>
      </c>
      <c r="F10" s="9" t="inlineStr">
        <is>
          <t>No reply yet</t>
        </is>
      </c>
      <c r="G10" s="9" t="inlineStr"/>
      <c r="H10" s="9" t="inlineStr"/>
    </row>
    <row r="11">
      <c r="A11" s="12" t="n"/>
      <c r="B11" s="9" t="n"/>
      <c r="C11" s="9" t="n"/>
      <c r="D11" s="11" t="n"/>
      <c r="E11" s="10">
        <f>IF(D11&lt;&gt;"",D11+7,"")</f>
        <v/>
      </c>
      <c r="F11" s="9" t="inlineStr">
        <is>
          <t>No reply yet</t>
        </is>
      </c>
      <c r="G11" s="9" t="inlineStr"/>
      <c r="H11" s="9" t="inlineStr"/>
    </row>
    <row r="12">
      <c r="A12" s="12" t="n"/>
      <c r="B12" s="9" t="n"/>
      <c r="C12" s="9" t="n"/>
      <c r="D12" s="11" t="n"/>
      <c r="E12" s="10">
        <f>IF(D12&lt;&gt;"",D12+7,"")</f>
        <v/>
      </c>
      <c r="F12" s="9" t="inlineStr">
        <is>
          <t>No reply yet</t>
        </is>
      </c>
      <c r="G12" s="9" t="inlineStr"/>
      <c r="H12" s="9" t="inlineStr"/>
    </row>
    <row r="13">
      <c r="A13" s="12" t="n"/>
      <c r="B13" s="9" t="n"/>
      <c r="C13" s="9" t="n"/>
      <c r="D13" s="11" t="n"/>
      <c r="E13" s="10">
        <f>IF(D13&lt;&gt;"",D13+7,"")</f>
        <v/>
      </c>
      <c r="F13" s="9" t="inlineStr">
        <is>
          <t>No reply yet</t>
        </is>
      </c>
      <c r="G13" s="9" t="inlineStr"/>
      <c r="H13" s="9" t="inlineStr"/>
    </row>
    <row r="14">
      <c r="A14" s="12" t="n"/>
      <c r="B14" s="9" t="n"/>
      <c r="C14" s="9" t="n"/>
      <c r="D14" s="11" t="n"/>
      <c r="E14" s="10">
        <f>IF(D14&lt;&gt;"",D14+7,"")</f>
        <v/>
      </c>
      <c r="F14" s="9" t="inlineStr">
        <is>
          <t>No reply yet</t>
        </is>
      </c>
      <c r="G14" s="9" t="inlineStr"/>
      <c r="H14" s="9" t="inlineStr"/>
    </row>
    <row r="15">
      <c r="A15" s="12" t="n"/>
      <c r="B15" s="9" t="n"/>
      <c r="C15" s="9" t="n"/>
      <c r="D15" s="11" t="n"/>
      <c r="E15" s="10">
        <f>IF(D15&lt;&gt;"",D15+7,"")</f>
        <v/>
      </c>
      <c r="F15" s="9" t="inlineStr">
        <is>
          <t>No reply yet</t>
        </is>
      </c>
      <c r="G15" s="9" t="inlineStr"/>
      <c r="H15" s="9" t="inlineStr"/>
    </row>
    <row r="16">
      <c r="A16" s="12" t="n"/>
      <c r="B16" s="9" t="n"/>
      <c r="C16" s="9" t="n"/>
      <c r="D16" s="11" t="n"/>
      <c r="E16" s="10">
        <f>IF(D16&lt;&gt;"",D16+7,"")</f>
        <v/>
      </c>
      <c r="F16" s="9" t="inlineStr">
        <is>
          <t>No reply yet</t>
        </is>
      </c>
      <c r="G16" s="9" t="inlineStr"/>
      <c r="H16" s="9" t="inlineStr"/>
    </row>
    <row r="17">
      <c r="A17" s="12" t="n"/>
      <c r="B17" s="9" t="n"/>
      <c r="C17" s="9" t="n"/>
      <c r="D17" s="11" t="n"/>
      <c r="E17" s="10">
        <f>IF(D17&lt;&gt;"",D17+7,"")</f>
        <v/>
      </c>
      <c r="F17" s="9" t="inlineStr">
        <is>
          <t>No reply yet</t>
        </is>
      </c>
      <c r="G17" s="9" t="inlineStr"/>
      <c r="H17" s="9" t="inlineStr"/>
    </row>
    <row r="18">
      <c r="A18" s="12" t="n"/>
      <c r="B18" s="9" t="n"/>
      <c r="C18" s="9" t="n"/>
      <c r="D18" s="11" t="n"/>
      <c r="E18" s="10">
        <f>IF(D18&lt;&gt;"",D18+7,"")</f>
        <v/>
      </c>
      <c r="F18" s="9" t="inlineStr">
        <is>
          <t>No reply yet</t>
        </is>
      </c>
      <c r="H18" s="9" t="inlineStr"/>
    </row>
    <row r="19">
      <c r="A19" s="9" t="n"/>
      <c r="B19" s="9" t="n"/>
      <c r="C19" s="9" t="n"/>
      <c r="D19" s="9" t="n"/>
      <c r="E19" s="9" t="n"/>
      <c r="F19" s="9" t="n"/>
      <c r="G19" s="9" t="n"/>
      <c r="H19" s="9" t="n"/>
    </row>
    <row r="20">
      <c r="A20" s="9" t="n"/>
      <c r="B20" s="9" t="n"/>
      <c r="C20" s="9" t="n"/>
      <c r="D20" s="9" t="n"/>
      <c r="E20" s="9" t="n"/>
      <c r="F20" s="9" t="n"/>
      <c r="G20" s="9" t="n"/>
      <c r="H20" s="9" t="n"/>
    </row>
  </sheetData>
  <mergeCells count="1">
    <mergeCell ref="A1:H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1"/>
  <sheetViews>
    <sheetView topLeftCell="A16" zoomScaleNormal="100" workbookViewId="0">
      <selection activeCell="B30" sqref="B30"/>
    </sheetView>
  </sheetViews>
  <sheetFormatPr baseColWidth="8" defaultRowHeight="14.25"/>
  <cols>
    <col width="28" customWidth="1" min="1" max="1"/>
    <col width="18" customWidth="1" min="2" max="2"/>
    <col width="26" customWidth="1" min="3" max="3"/>
    <col width="42" customWidth="1" min="4" max="5"/>
    <col width="12" customWidth="1" min="6" max="8"/>
    <col width="30" customWidth="1" min="9" max="12"/>
    <col width="45" customWidth="1" min="13" max="13"/>
    <col width="16" customWidth="1" min="14" max="16"/>
  </cols>
  <sheetData>
    <row r="1" ht="26.45" customHeight="1">
      <c r="A1" s="5" t="inlineStr">
        <is>
          <t>Company</t>
        </is>
      </c>
      <c r="B1" s="5" t="inlineStr">
        <is>
          <t>City / Area</t>
        </is>
      </c>
      <c r="C1" s="5" t="inlineStr">
        <is>
          <t>Segment</t>
        </is>
      </c>
      <c r="D1" s="5" t="inlineStr">
        <is>
          <t>Why it belongs on your list</t>
        </is>
      </c>
      <c r="E1" s="5" t="inlineStr">
        <is>
          <t>Relevant signal for you</t>
        </is>
      </c>
      <c r="F1" s="5" t="inlineStr">
        <is>
          <t>Digital-design fit (1-5)</t>
        </is>
      </c>
      <c r="G1" s="5" t="inlineStr">
        <is>
          <t>Student access (1-5)</t>
        </is>
      </c>
      <c r="H1" s="5" t="inlineStr">
        <is>
          <t>Priority Score</t>
        </is>
      </c>
      <c r="I1" s="5" t="inlineStr">
        <is>
          <t>Website</t>
        </is>
      </c>
      <c r="J1" s="5" t="inlineStr">
        <is>
          <t>Careers / Contact</t>
        </is>
      </c>
      <c r="K1" s="5" t="inlineStr">
        <is>
          <t>Source 1</t>
        </is>
      </c>
      <c r="L1" s="5" t="inlineStr">
        <is>
          <t>Source 2</t>
        </is>
      </c>
      <c r="M1" s="5" t="inlineStr">
        <is>
          <t>First action</t>
        </is>
      </c>
      <c r="N1" s="5" t="inlineStr">
        <is>
          <t>Outreach status</t>
        </is>
      </c>
      <c r="O1" s="5" t="inlineStr">
        <is>
          <t>Date contacted</t>
        </is>
      </c>
      <c r="P1" s="5" t="inlineStr">
        <is>
          <t>Follow-up due</t>
        </is>
      </c>
    </row>
    <row r="2" ht="39.6" customHeight="1">
      <c r="A2" s="3" t="inlineStr">
        <is>
          <t>Extreme Engineering Solutions (X-ES)</t>
        </is>
      </c>
      <c r="B2" s="3" t="inlineStr">
        <is>
          <t>Verona</t>
        </is>
      </c>
      <c r="C2" s="3" t="inlineStr">
        <is>
          <t>FPGA / embedded computing hardware</t>
        </is>
      </c>
      <c r="D2" s="3" t="inlineStr">
        <is>
          <t>Local embedded-computing company with FPGA modules, I/O modules, boards, systems, and on-site manufacturing.</t>
        </is>
      </c>
      <c r="E2" s="3" t="inlineStr">
        <is>
          <t>Strongest nearby fit if you want FPGA / board-level digital design; explicit student opportunities.</t>
        </is>
      </c>
      <c r="F2" s="3" t="n">
        <v>5</v>
      </c>
      <c r="G2" s="3" t="n">
        <v>5</v>
      </c>
      <c r="H2" s="7" t="n">
        <v>10</v>
      </c>
      <c r="I2" s="3" t="inlineStr">
        <is>
          <t>https://www.xes-inc.com/</t>
        </is>
      </c>
      <c r="J2" s="3" t="inlineStr">
        <is>
          <t>https://www.xes-inc.com/about/careers/</t>
        </is>
      </c>
      <c r="K2" s="3" t="inlineStr">
        <is>
          <t>https://www.xes-inc.com/about/</t>
        </is>
      </c>
      <c r="L2" s="3" t="inlineStr">
        <is>
          <t>https://www.xes-inc.com/about/careers/student-co-op-opportunities/</t>
        </is>
      </c>
      <c r="M2" s="3" t="inlineStr">
        <is>
          <t>Apply to any student role, then send a short note asking about hardware / FPGA paths.</t>
        </is>
      </c>
      <c r="N2" s="3" t="inlineStr">
        <is>
          <t>N/A, no positions</t>
        </is>
      </c>
      <c r="O2" s="6" t="inlineStr">
        <is>
          <t>(7/31/26)</t>
        </is>
      </c>
      <c r="P2" s="6" t="n"/>
    </row>
    <row r="3" ht="39.6" customHeight="1">
      <c r="A3" s="3" t="inlineStr">
        <is>
          <t>i3 Product Development</t>
        </is>
      </c>
      <c r="B3" s="3" t="inlineStr">
        <is>
          <t>Sun Prairie</t>
        </is>
      </c>
      <c r="C3" s="3" t="inlineStr">
        <is>
          <t>Product development / embedded / electrical engineering</t>
        </is>
      </c>
      <c r="D3" s="3" t="inlineStr">
        <is>
          <t>Nearby engineering firm with in-house electrical engineering, embedded software, prototyping, and internships.</t>
        </is>
      </c>
      <c r="E3" s="3" t="inlineStr">
        <is>
          <t>Great practical fit if you want to talk to real product-development engineers and get hardware exposure fast.</t>
        </is>
      </c>
      <c r="F3" s="3" t="n">
        <v>4</v>
      </c>
      <c r="G3" s="3" t="n">
        <v>5</v>
      </c>
      <c r="H3" s="7" t="n">
        <v>9</v>
      </c>
      <c r="I3" s="3" t="inlineStr">
        <is>
          <t>https://i3pd.com/</t>
        </is>
      </c>
      <c r="J3" s="3" t="inlineStr">
        <is>
          <t>https://i3pd.com/jobs/</t>
        </is>
      </c>
      <c r="K3" s="3" t="inlineStr">
        <is>
          <t>https://i3pd.com/contact-us/</t>
        </is>
      </c>
      <c r="L3" s="3" t="inlineStr">
        <is>
          <t>https://i3pd.com/team/</t>
        </is>
      </c>
      <c r="M3" s="3" t="inlineStr">
        <is>
          <t>Apply to internships or entry paths and mention your interest in embedded / digital hardware projects.</t>
        </is>
      </c>
      <c r="N3" s="3" t="inlineStr">
        <is>
          <t>No positions, but still sent a resume and cover letter.</t>
        </is>
      </c>
      <c r="O3" s="6" t="inlineStr">
        <is>
          <t>(7/31/26)</t>
        </is>
      </c>
      <c r="P3" s="6" t="n"/>
    </row>
    <row r="4" ht="39.6" customHeight="1">
      <c r="A4" s="3" t="inlineStr">
        <is>
          <t>SixLine Semiconductor</t>
        </is>
      </c>
      <c r="B4" s="3" t="inlineStr">
        <is>
          <t>Middleton</t>
        </is>
      </c>
      <c r="C4" s="3" t="inlineStr">
        <is>
          <t>Pure-play semiconductor startup</t>
        </is>
      </c>
      <c r="D4" s="3" t="inlineStr">
        <is>
          <t>Commercializing carbon-nanotube semiconductor technology for next-generation devices.</t>
        </is>
      </c>
      <c r="E4" s="3" t="inlineStr">
        <is>
          <t>Best local pure-play semiconductor networking target; founder/startup conversations could be valuable even if openings are sparse.</t>
        </is>
      </c>
      <c r="F4" s="3" t="n">
        <v>4</v>
      </c>
      <c r="G4" s="3" t="n">
        <v>5</v>
      </c>
      <c r="H4" s="7" t="n">
        <v>9</v>
      </c>
      <c r="I4" s="3" t="inlineStr">
        <is>
          <t>https://www.sixlinesemi.com/</t>
        </is>
      </c>
      <c r="J4" s="3" t="inlineStr">
        <is>
          <t>https://www.sixlinesemi.com/contact</t>
        </is>
      </c>
      <c r="K4" s="3" t="inlineStr">
        <is>
          <t>https://www.sixlinesemi.com/</t>
        </is>
      </c>
      <c r="L4" s="3" t="inlineStr">
        <is>
          <t>https://wedc.org/innovate-in-wisconsin/innovation-investment-portfolio/sixline-semiconductor-inc/</t>
        </is>
      </c>
      <c r="M4" s="3" t="inlineStr">
        <is>
          <t>Send founder/team outreach asking for a 15-minute learning conversation about local semiconductor paths.</t>
        </is>
      </c>
      <c r="N4" s="3" t="inlineStr">
        <is>
          <t>No positions, though I did submit a google form so ill be on the look out for responses to that.</t>
        </is>
      </c>
      <c r="O4" s="6" t="inlineStr">
        <is>
          <t>(7/31/26)</t>
        </is>
      </c>
      <c r="P4" s="6" t="n"/>
    </row>
    <row r="5" ht="39.6" customHeight="1">
      <c r="A5" s="3" t="inlineStr">
        <is>
          <t>Sound Devices</t>
        </is>
      </c>
      <c r="B5" s="3" t="inlineStr">
        <is>
          <t>Madison / Reedsburg</t>
        </is>
      </c>
      <c r="C5" s="3" t="inlineStr">
        <is>
          <t>Professional audio / embedded hardware</t>
        </is>
      </c>
      <c r="D5" s="3" t="inlineStr">
        <is>
          <t>Designs, assembles, and supports pro-audio and wireless products in Wisconsin; Madison office has embedded roles.</t>
        </is>
      </c>
      <c r="E5" s="3" t="inlineStr">
        <is>
          <t>Very solid embedded-hardware target with real products, local engineering, and a history of internships.</t>
        </is>
      </c>
      <c r="F5" s="3" t="n">
        <v>4</v>
      </c>
      <c r="G5" s="3" t="n">
        <v>4</v>
      </c>
      <c r="H5" s="7" t="n">
        <v>8</v>
      </c>
      <c r="I5" s="3" t="inlineStr">
        <is>
          <t>https://www.sounddevices.com/</t>
        </is>
      </c>
      <c r="J5" s="3" t="inlineStr">
        <is>
          <t>https://www.sounddevices.com/company/careers/</t>
        </is>
      </c>
      <c r="K5" s="3" t="inlineStr">
        <is>
          <t>https://www.sounddevices.com/company/careers/</t>
        </is>
      </c>
      <c r="L5" s="3" t="inlineStr">
        <is>
          <t>https://www.sounddevices.com/embedded-software-engineer-madison-wi/</t>
        </is>
      </c>
      <c r="M5" s="3" t="inlineStr">
        <is>
          <t>Reach out to engineering recruiting or apply directly to embedded openings; mention hardware + real-time interest.</t>
        </is>
      </c>
      <c r="N5" s="3" t="inlineStr">
        <is>
          <t>Not contacted</t>
        </is>
      </c>
      <c r="O5" s="6" t="n"/>
      <c r="P5" s="6" t="n"/>
    </row>
    <row r="6" ht="39.6" customHeight="1">
      <c r="A6" s="3" t="inlineStr">
        <is>
          <t>Sub-Zero Group</t>
        </is>
      </c>
      <c r="B6" s="3" t="inlineStr">
        <is>
          <t>Fitchburg / Madison</t>
        </is>
      </c>
      <c r="C6" s="3" t="inlineStr">
        <is>
          <t>Product engineering / controls / appliance electronics</t>
        </is>
      </c>
      <c r="D6" s="3" t="inlineStr">
        <is>
          <t>Large local product company with manufacturing and engineering in Fitchburg plus student programs.</t>
        </is>
      </c>
      <c r="E6" s="3" t="inlineStr">
        <is>
          <t>Not semiconductor, but a real Wisconsin hardware employer with product-development and controls/electronics paths.</t>
        </is>
      </c>
      <c r="F6" s="3" t="n">
        <v>3</v>
      </c>
      <c r="G6" s="3" t="n">
        <v>5</v>
      </c>
      <c r="H6" s="7" t="n">
        <v>8</v>
      </c>
      <c r="I6" s="3" t="inlineStr">
        <is>
          <t>https://www.subzero-wolf.com/</t>
        </is>
      </c>
      <c r="J6" s="3" t="inlineStr">
        <is>
          <t>https://www.subzero-wolf.com/about/careers</t>
        </is>
      </c>
      <c r="K6" s="3" t="inlineStr">
        <is>
          <t>https://www.subzero-wolf.com/about/careers/locations</t>
        </is>
      </c>
      <c r="L6" s="3" t="inlineStr">
        <is>
          <t>https://www.subzero-wolf.com/about/careers/co-op-program</t>
        </is>
      </c>
      <c r="M6" s="3" t="inlineStr">
        <is>
          <t>Watch student and engineering openings; tailor outreach to product development, controls, or electronics.</t>
        </is>
      </c>
      <c r="N6" s="3" t="inlineStr">
        <is>
          <t>Not contacted</t>
        </is>
      </c>
      <c r="O6" s="6" t="n"/>
      <c r="P6" s="6" t="n"/>
    </row>
    <row r="7" ht="39.6" customHeight="1">
      <c r="A7" s="3" t="inlineStr">
        <is>
          <t>Johnson Health Tech</t>
        </is>
      </c>
      <c r="B7" s="3" t="inlineStr">
        <is>
          <t>Cottage Grove</t>
        </is>
      </c>
      <c r="C7" s="3" t="inlineStr">
        <is>
          <t>Connected products / electronics / embedded systems</t>
        </is>
      </c>
      <c r="D7" s="3" t="inlineStr">
        <is>
          <t>Cottage Grove engineering team has posted senior electrical and embedded software roles for connected products.</t>
        </is>
      </c>
      <c r="E7" s="3" t="inlineStr">
        <is>
          <t>Good nearby product-electronics company if you want analog/digital hardware, system connectivity, and firmware-adjacent work.</t>
        </is>
      </c>
      <c r="F7" s="3" t="n">
        <v>4</v>
      </c>
      <c r="G7" s="3" t="n">
        <v>3</v>
      </c>
      <c r="H7" s="7" t="n">
        <v>7</v>
      </c>
      <c r="I7" s="3" t="inlineStr">
        <is>
          <t>https://www.johnsonhealthtech.com/</t>
        </is>
      </c>
      <c r="J7" s="3" t="inlineStr">
        <is>
          <t>https://www.johnsonhealthtech.com/us/eng/careers</t>
        </is>
      </c>
      <c r="K7" s="3" t="inlineStr">
        <is>
          <t>https://www.johnsonhealthtech.com/us/eng/careers</t>
        </is>
      </c>
      <c r="L7" s="3" t="inlineStr">
        <is>
          <t>https://recruiting.paylocity.com/recruiting/jobs/List/2034/Johnson-Heath-Tech-Companies</t>
        </is>
      </c>
      <c r="M7" s="3" t="inlineStr">
        <is>
          <t>Check the Cottage Grove postings and send a concise note about hardware / embedded interest.</t>
        </is>
      </c>
      <c r="N7" s="3" t="inlineStr">
        <is>
          <t>No Positions.</t>
        </is>
      </c>
      <c r="O7" s="6" t="inlineStr">
        <is>
          <t>(7/31/26)</t>
        </is>
      </c>
      <c r="P7" s="6" t="n"/>
    </row>
    <row r="8" ht="52.7" customHeight="1">
      <c r="A8" s="3" t="inlineStr">
        <is>
          <t>Promega</t>
        </is>
      </c>
      <c r="B8" s="3" t="inlineStr">
        <is>
          <t>Madison</t>
        </is>
      </c>
      <c r="C8" s="3" t="inlineStr">
        <is>
          <t>Scientific instruments / benchtop systems</t>
        </is>
      </c>
      <c r="D8" s="3" t="inlineStr">
        <is>
          <t>Madison-headquartered manufacturer that develops reagents and instruments, with engineering and instrument-service roles.</t>
        </is>
      </c>
      <c r="E8" s="3" t="inlineStr">
        <is>
          <t>Useful if you want to enter hardware through scientific instruments, system integration, service, or manufacturing engineering.</t>
        </is>
      </c>
      <c r="F8" s="3" t="n">
        <v>3</v>
      </c>
      <c r="G8" s="3" t="n">
        <v>4</v>
      </c>
      <c r="H8" s="7" t="n">
        <v>7</v>
      </c>
      <c r="I8" s="3" t="inlineStr">
        <is>
          <t>https://www.promega.com/</t>
        </is>
      </c>
      <c r="J8" s="3" t="inlineStr">
        <is>
          <t>https://www.promega.com/aboutus/careers/</t>
        </is>
      </c>
      <c r="K8" s="3" t="inlineStr">
        <is>
          <t>https://www.promega.com/aboutus/company-information/</t>
        </is>
      </c>
      <c r="L8" s="3" t="inlineStr">
        <is>
          <t>https://www.promega.com/aboutus/press-releases/global/2022/may-17-2022-forensic-laboratories-flexibility-with-spectrum-ce/</t>
        </is>
      </c>
      <c r="M8" s="3" t="inlineStr">
        <is>
          <t>Look for instrument, service, hardware, or manufacturing-engineering roles on the Madison campus.</t>
        </is>
      </c>
      <c r="N8" s="3" t="inlineStr">
        <is>
          <t>Not contacted</t>
        </is>
      </c>
      <c r="O8" s="6" t="n"/>
      <c r="P8" s="6" t="n"/>
    </row>
    <row r="9" ht="39.6" customHeight="1">
      <c r="A9" s="3" t="inlineStr">
        <is>
          <t>Springs Window Fashions</t>
        </is>
      </c>
      <c r="B9" s="3" t="inlineStr">
        <is>
          <t>Middleton</t>
        </is>
      </c>
      <c r="C9" s="3" t="inlineStr">
        <is>
          <t>Connected products / firmware / controls</t>
        </is>
      </c>
      <c r="D9" s="3" t="inlineStr">
        <is>
          <t>Middleton team is hiring firmware and electrical engineers for motorized and connected products, plus internships.</t>
        </is>
      </c>
      <c r="E9" s="3" t="inlineStr">
        <is>
          <t>Not semiconductor, but a very real nearby embedded-products employer.</t>
        </is>
      </c>
      <c r="F9" s="3" t="n">
        <v>3</v>
      </c>
      <c r="G9" s="3" t="n">
        <v>4</v>
      </c>
      <c r="H9" s="7" t="n">
        <v>7</v>
      </c>
      <c r="I9" s="3" t="inlineStr">
        <is>
          <t>https://springswindowfashions.com/</t>
        </is>
      </c>
      <c r="J9" s="3" t="inlineStr">
        <is>
          <t>https://springswindowfashions.com/careers/career-opportunities/</t>
        </is>
      </c>
      <c r="K9" s="3" t="inlineStr">
        <is>
          <t>https://springswindowfashions.com/careers/career-opportunities/</t>
        </is>
      </c>
      <c r="L9" s="3" t="inlineStr">
        <is>
          <t>https://careers-springswindowfashions.icims.com/jobs/12354/firmware-engineer/job</t>
        </is>
      </c>
      <c r="M9" s="3" t="inlineStr">
        <is>
          <t>Track firmware/electrical roles and mention interest in controls, connected devices, and embedded systems.</t>
        </is>
      </c>
      <c r="N9" s="3" t="inlineStr">
        <is>
          <t>Not contacted</t>
        </is>
      </c>
      <c r="O9" s="6" t="n"/>
      <c r="P9" s="6" t="n"/>
    </row>
    <row r="10" ht="39.6" customHeight="1">
      <c r="A10" s="3" t="inlineStr">
        <is>
          <t>Qolab</t>
        </is>
      </c>
      <c r="B10" s="3" t="inlineStr">
        <is>
          <t>Madison</t>
        </is>
      </c>
      <c r="C10" s="3" t="inlineStr">
        <is>
          <t>Quantum hardware / semiconductor-compatible fabrication</t>
        </is>
      </c>
      <c r="D10" s="3" t="inlineStr">
        <is>
          <t>Madison lab building superconducting quantum hardware with advanced semiconductor-compatible fabrication.</t>
        </is>
      </c>
      <c r="E10" s="3" t="inlineStr">
        <is>
          <t>Good advanced-hardware startup target for conversations about control, packaging, readout, and scalable hardware systems.</t>
        </is>
      </c>
      <c r="F10" s="3" t="n">
        <v>4</v>
      </c>
      <c r="G10" s="3" t="n">
        <v>3</v>
      </c>
      <c r="H10" s="7" t="n">
        <v>7</v>
      </c>
      <c r="I10" s="3" t="inlineStr">
        <is>
          <t>https://qolab.ai/</t>
        </is>
      </c>
      <c r="J10" s="3" t="inlineStr">
        <is>
          <t>https://qolab.ai/contact-us/</t>
        </is>
      </c>
      <c r="K10" s="3" t="inlineStr">
        <is>
          <t>https://qolab.ai/</t>
        </is>
      </c>
      <c r="L10" s="3" t="inlineStr">
        <is>
          <t>https://qolab.ai/contact-us/</t>
        </is>
      </c>
      <c r="M10" s="3" t="inlineStr">
        <is>
          <t>Send a concise hardware-interest note and watch for lab or hardware-engineering openings.</t>
        </is>
      </c>
      <c r="N10" s="3" t="inlineStr">
        <is>
          <t>Not contacted</t>
        </is>
      </c>
      <c r="O10" s="6" t="n"/>
      <c r="P10" s="6" t="n"/>
    </row>
    <row r="11" ht="39.6" customHeight="1">
      <c r="A11" s="3" t="inlineStr">
        <is>
          <t>CAMECA Instruments (Atom Probe Technology Center)</t>
        </is>
      </c>
      <c r="B11" s="3" t="inlineStr">
        <is>
          <t>Fitchburg / Madison</t>
        </is>
      </c>
      <c r="C11" s="3" t="inlineStr">
        <is>
          <t>Semiconductor metrology / instrumentation</t>
        </is>
      </c>
      <c r="D11" s="3" t="inlineStr">
        <is>
          <t>Madison-area site develops and manufactures LEAP atom probe tools used in materials and semiconductor work.</t>
        </is>
      </c>
      <c r="E11" s="3" t="inlineStr">
        <is>
          <t>Relevant if you can enter through electronics, test, instrumentation, or manufacturing-engineering-adjacent work.</t>
        </is>
      </c>
      <c r="F11" s="3" t="n">
        <v>3</v>
      </c>
      <c r="G11" s="3" t="n">
        <v>3</v>
      </c>
      <c r="H11" s="7" t="n">
        <v>6</v>
      </c>
      <c r="I11" s="3" t="inlineStr">
        <is>
          <t>https://www.cameca.com/</t>
        </is>
      </c>
      <c r="J11" s="3" t="inlineStr">
        <is>
          <t>https://www.cameca.com/company/careers</t>
        </is>
      </c>
      <c r="K11" s="3" t="inlineStr">
        <is>
          <t>https://www.cameca.com/contact/production-sites/atom-probe-technology-center</t>
        </is>
      </c>
      <c r="L11" s="3" t="inlineStr">
        <is>
          <t>https://www.cameca.com/company/careers</t>
        </is>
      </c>
      <c r="M11" s="3" t="inlineStr">
        <is>
          <t>Check Madison-site openings and look for electronics, instrument, test, or manufacturing roles.</t>
        </is>
      </c>
      <c r="N11" s="3" t="inlineStr">
        <is>
          <t>Not contacted</t>
        </is>
      </c>
      <c r="O11" s="6" t="n"/>
      <c r="P11" s="6" t="n"/>
    </row>
    <row r="12" ht="39.6" customHeight="1">
      <c r="A12" s="3" t="inlineStr">
        <is>
          <t>Infleqtion</t>
        </is>
      </c>
      <c r="B12" s="3" t="inlineStr">
        <is>
          <t>Madison</t>
        </is>
      </c>
      <c r="C12" s="3" t="inlineStr">
        <is>
          <t>Quantum hardware / sensing</t>
        </is>
      </c>
      <c r="D12" s="3" t="inlineStr">
        <is>
          <t>Quantum technology company with a Madison office spanning hardware, sensing, and software.</t>
        </is>
      </c>
      <c r="E12" s="3" t="inlineStr">
        <is>
          <t>Less direct than X-ES, but still worth tracking for hardware / experimental systems opportunities.</t>
        </is>
      </c>
      <c r="F12" s="3" t="n">
        <v>3</v>
      </c>
      <c r="G12" s="3" t="n">
        <v>3</v>
      </c>
      <c r="H12" s="7" t="n">
        <v>6</v>
      </c>
      <c r="I12" s="3" t="inlineStr">
        <is>
          <t>https://infleqtion.com/</t>
        </is>
      </c>
      <c r="J12" s="3" t="inlineStr">
        <is>
          <t>https://infleqtion.com/careers/</t>
        </is>
      </c>
      <c r="K12" s="3" t="inlineStr">
        <is>
          <t>https://infleqtion.com/careers/</t>
        </is>
      </c>
      <c r="L12" s="3" t="inlineStr">
        <is>
          <t>https://infleqtion.com/infleqtion-and-university-of-colorado-boulder-collaborate/</t>
        </is>
      </c>
      <c r="M12" s="3" t="inlineStr">
        <is>
          <t>Track openings and send a short Madison-office note if you see a hardware-adjacent fit.</t>
        </is>
      </c>
      <c r="N12" s="3" t="inlineStr">
        <is>
          <t>Not contacted</t>
        </is>
      </c>
      <c r="O12" s="6" t="n"/>
      <c r="P12" s="6" t="n"/>
    </row>
    <row r="13" ht="39.6" customHeight="1">
      <c r="A13" s="3" t="inlineStr">
        <is>
          <t>Thermo Fisher Scientific</t>
        </is>
      </c>
      <c r="B13" s="3" t="inlineStr">
        <is>
          <t>Madison</t>
        </is>
      </c>
      <c r="C13" s="3" t="inlineStr">
        <is>
          <t>Analytical instrumentation / service / software</t>
        </is>
      </c>
      <c r="D13" s="3" t="inlineStr">
        <is>
          <t>Madison remains a real Thermo Fisher instrument site, with local service/support and instrument/software activity.</t>
        </is>
      </c>
      <c r="E13" s="3" t="inlineStr">
        <is>
          <t>Not your purest digital-design fit, but worth watching for hardware-support, instrumentation, automation, or local software roles.</t>
        </is>
      </c>
      <c r="F13" s="3" t="n">
        <v>3</v>
      </c>
      <c r="G13" s="3" t="n">
        <v>3</v>
      </c>
      <c r="H13" s="7" t="n">
        <v>6</v>
      </c>
      <c r="I13" s="3" t="inlineStr">
        <is>
          <t>https://www.thermofisher.com/us/en/home.html</t>
        </is>
      </c>
      <c r="J13" s="3" t="inlineStr">
        <is>
          <t>https://jobs.thermofisher.com/</t>
        </is>
      </c>
      <c r="K13" s="3" t="inlineStr">
        <is>
          <t>https://www.thermofisher.com/us/en/home/technical-resources/manufacturing-site-iso-certifications.html</t>
        </is>
      </c>
      <c r="L13" s="3" t="inlineStr">
        <is>
          <t>https://jobs.thermofisher.com/global/en/job/R-01346167/Software-Development-Manager</t>
        </is>
      </c>
      <c r="M13" s="3" t="inlineStr">
        <is>
          <t>Search Madison openings with keywords like instrument, hardware, automation, validation, software, and service.</t>
        </is>
      </c>
      <c r="N13" s="3" t="inlineStr">
        <is>
          <t>No positions, I'll check back.</t>
        </is>
      </c>
      <c r="O13" s="6" t="inlineStr">
        <is>
          <t>(7/31/26)</t>
        </is>
      </c>
      <c r="P13" s="6" t="n"/>
    </row>
    <row r="14" ht="52.7" customHeight="1">
      <c r="A14" s="3" t="inlineStr">
        <is>
          <t>SHINE Technologies</t>
        </is>
      </c>
      <c r="B14" s="3" t="inlineStr">
        <is>
          <t>Janesville / Fitchburg</t>
        </is>
      </c>
      <c r="C14" s="3" t="inlineStr">
        <is>
          <t>Fusion systems / advanced hardware</t>
        </is>
      </c>
      <c r="D14" s="3" t="inlineStr">
        <is>
          <t>Builds fusion-related systems in southern Wisconsin and is hiring in Janesville and Fitchburg.</t>
        </is>
      </c>
      <c r="E14" s="3" t="inlineStr">
        <is>
          <t>Worth including if you want hard-tech exposure, engineering rigor, and local advanced-energy hardware contacts.</t>
        </is>
      </c>
      <c r="F14" s="3" t="n">
        <v>3</v>
      </c>
      <c r="G14" s="3" t="n">
        <v>3</v>
      </c>
      <c r="H14" s="7" t="n">
        <v>6</v>
      </c>
      <c r="I14" s="3" t="inlineStr">
        <is>
          <t>https://www.shinefusion.com/</t>
        </is>
      </c>
      <c r="J14" s="3" t="inlineStr">
        <is>
          <t>https://www.shinefusion.com/about/careers</t>
        </is>
      </c>
      <c r="K14" s="3" t="inlineStr">
        <is>
          <t>https://www.shinefusion.com/about/careers</t>
        </is>
      </c>
      <c r="L14" s="3" t="inlineStr">
        <is>
          <t>https://www.shinefusion.com/videos/shine-technologies-systems-and-manufacturing-facility-in-fitchburg-wisconsin</t>
        </is>
      </c>
      <c r="M14" s="3" t="inlineStr">
        <is>
          <t>Track systems, manufacturing, controls, or hardware roles and send a targeted note about advanced hardware interest.</t>
        </is>
      </c>
      <c r="N14" s="3" t="inlineStr">
        <is>
          <t>Not contacted</t>
        </is>
      </c>
      <c r="O14" s="6" t="n"/>
      <c r="P14" s="6" t="n"/>
    </row>
    <row r="15" ht="39.6" customHeight="1">
      <c r="A15" s="3" t="inlineStr">
        <is>
          <t>NorthStar Medical Radioisotopes</t>
        </is>
      </c>
      <c r="B15" s="3" t="inlineStr">
        <is>
          <t>Beloit</t>
        </is>
      </c>
      <c r="C15" s="3" t="inlineStr">
        <is>
          <t>Accelerator-based systems / automation / advanced hardware</t>
        </is>
      </c>
      <c r="D15" s="3" t="inlineStr">
        <is>
          <t>Beloit campus uses electron beam accelerators and is hiring engineering roles including automation.</t>
        </is>
      </c>
      <c r="E15" s="3" t="inlineStr">
        <is>
          <t>Interesting if you want complex systems, controls, automation, or accelerator-adjacent hardware exposure.</t>
        </is>
      </c>
      <c r="F15" s="3" t="n">
        <v>3</v>
      </c>
      <c r="G15" s="3" t="n">
        <v>3</v>
      </c>
      <c r="H15" s="7" t="n">
        <v>6</v>
      </c>
      <c r="I15" s="3" t="inlineStr">
        <is>
          <t>https://www.northstarnm.com/</t>
        </is>
      </c>
      <c r="J15" s="3" t="inlineStr">
        <is>
          <t>https://www.northstarnm.com/careers/</t>
        </is>
      </c>
      <c r="K15" s="3" t="inlineStr">
        <is>
          <t>https://www.northstarnm.com/careers/</t>
        </is>
      </c>
      <c r="L15" s="3" t="inlineStr">
        <is>
          <t>https://www.northstarnm.com/company/facilities/</t>
        </is>
      </c>
      <c r="M15" s="3" t="inlineStr">
        <is>
          <t>Look for automation, controls, electrical, or systems roles and send a short learning-oriented outreach note.</t>
        </is>
      </c>
      <c r="N15" s="3" t="inlineStr">
        <is>
          <t>Not contacted</t>
        </is>
      </c>
      <c r="O15" s="6" t="n"/>
      <c r="P15" s="6" t="n"/>
    </row>
    <row r="16" ht="52.7" customHeight="1">
      <c r="A16" s="3" t="inlineStr">
        <is>
          <t>ABS Global / Genus</t>
        </is>
      </c>
      <c r="B16" s="3" t="inlineStr">
        <is>
          <t>Windsor / DeForest</t>
        </is>
      </c>
      <c r="C16" s="3" t="inlineStr">
        <is>
          <t>Biosystems / embedded hardware</t>
        </is>
      </c>
      <c r="D16" s="3" t="inlineStr">
        <is>
          <t>Nearby biosystems team has recently posted embedded software work in Windsor, giving you another local embedded-systems angle.</t>
        </is>
      </c>
      <c r="E16" s="3" t="inlineStr">
        <is>
          <t>Not semiconductor, but worth one shot because it is close and has shown embedded hiring.</t>
        </is>
      </c>
      <c r="F16" s="3" t="n">
        <v>3</v>
      </c>
      <c r="G16" s="3" t="n">
        <v>3</v>
      </c>
      <c r="H16" s="7" t="n">
        <v>6</v>
      </c>
      <c r="I16" s="3" t="inlineStr">
        <is>
          <t>https://www.absglobal.com/abs-careers/</t>
        </is>
      </c>
      <c r="J16" s="3" t="inlineStr">
        <is>
          <t>https://www.absglobal.com/abs-careers/</t>
        </is>
      </c>
      <c r="K16" s="3" t="inlineStr">
        <is>
          <t>https://www.absglobal.com/abs-careers/</t>
        </is>
      </c>
      <c r="L16" s="3" t="inlineStr">
        <is>
          <t>https://www.ziprecruiter.com/c/Genus-PLC/Job/Sr-Software-Engineer%2C-Embedded/-in-Windsor%2CWI?jid=7424564879546158</t>
        </is>
      </c>
      <c r="M16" s="3" t="inlineStr">
        <is>
          <t>Search Windsor / DeForest engineering postings and send one concise embedded-systems outreach note.</t>
        </is>
      </c>
      <c r="N16" s="3" t="inlineStr">
        <is>
          <t>Not contacted</t>
        </is>
      </c>
      <c r="O16" s="6" t="n"/>
      <c r="P16" s="6" t="n"/>
    </row>
    <row r="17" ht="26.45" customHeight="1">
      <c r="A17" s="3" t="inlineStr">
        <is>
          <t>Type One Energy</t>
        </is>
      </c>
      <c r="B17" s="3" t="inlineStr">
        <is>
          <t>Madison</t>
        </is>
      </c>
      <c r="C17" s="3" t="inlineStr">
        <is>
          <t>Fusion hardware / controls / advanced energy</t>
        </is>
      </c>
      <c r="D17" s="3" t="inlineStr">
        <is>
          <t>Madison office in a venture-backed fusion company with local presence and technical roles.</t>
        </is>
      </c>
      <c r="E17" s="3" t="inlineStr">
        <is>
          <t>Longer-shot for digital design, but still worth keeping on the board for serious hard-tech networking.</t>
        </is>
      </c>
      <c r="F17" s="3" t="n">
        <v>3</v>
      </c>
      <c r="G17" s="3" t="n">
        <v>2</v>
      </c>
      <c r="H17" s="7" t="n">
        <v>5</v>
      </c>
      <c r="I17" s="3" t="inlineStr">
        <is>
          <t>https://typeoneenergy.com/home/</t>
        </is>
      </c>
      <c r="J17" s="3" t="inlineStr">
        <is>
          <t>https://typeoneenergy.com/careers/</t>
        </is>
      </c>
      <c r="K17" s="3" t="inlineStr">
        <is>
          <t>https://typeoneenergy.com/careers/</t>
        </is>
      </c>
      <c r="L17" s="3" t="inlineStr">
        <is>
          <t>https://typeoneenergy.teamtailor.com/jobs</t>
        </is>
      </c>
      <c r="M17" s="3" t="inlineStr">
        <is>
          <t>Track Madison openings and keep this as a network target rather than a primary first outreach wave.</t>
        </is>
      </c>
      <c r="N17" s="3" t="inlineStr">
        <is>
          <t>Not contacted</t>
        </is>
      </c>
      <c r="O17" s="6" t="n"/>
      <c r="P17" s="6" t="n"/>
    </row>
    <row r="18">
      <c r="A18" t="inlineStr">
        <is>
          <t>Epic Technologies</t>
        </is>
      </c>
      <c r="B18" t="inlineStr">
        <is>
          <t>Verona</t>
        </is>
      </c>
      <c r="C18" t="inlineStr">
        <is>
          <t>Medical Software</t>
        </is>
      </c>
      <c r="D18" t="inlineStr">
        <is>
          <t>Damn near highest market cap outta wisconsin</t>
        </is>
      </c>
      <c r="E18" t="inlineStr">
        <is>
          <t>Goated software company, shipping things that matter, I imagine immense equity deals as well</t>
        </is>
      </c>
      <c r="F18" t="n">
        <v>2</v>
      </c>
      <c r="G18" t="n">
        <v>2</v>
      </c>
      <c r="H18" t="n">
        <v>10</v>
      </c>
      <c r="N18" t="inlineStr">
        <is>
          <t>Applied for 2027 summer internship</t>
        </is>
      </c>
      <c r="O18" t="inlineStr">
        <is>
          <t xml:space="preserve">(09/21/26) </t>
        </is>
      </c>
    </row>
    <row r="19">
      <c r="A19" t="inlineStr">
        <is>
          <t>Alphabet Inc</t>
        </is>
      </c>
      <c r="B19" t="inlineStr">
        <is>
          <t>US</t>
        </is>
      </c>
      <c r="C19" t="inlineStr">
        <is>
          <t>errything</t>
        </is>
      </c>
      <c r="N19" t="inlineStr">
        <is>
          <t>Applied for research internship off of handshake</t>
        </is>
      </c>
      <c r="O19" s="6" t="inlineStr">
        <is>
          <t>(7/31/26)</t>
        </is>
      </c>
    </row>
    <row r="20">
      <c r="A20" t="inlineStr">
        <is>
          <t>America Family Insurance</t>
        </is>
      </c>
      <c r="B20" t="inlineStr">
        <is>
          <t>Madison</t>
        </is>
      </c>
      <c r="C20" t="inlineStr">
        <is>
          <t>Insurance services</t>
        </is>
      </c>
      <c r="N20" t="inlineStr">
        <is>
          <t>08/05/25 No positions</t>
        </is>
      </c>
    </row>
    <row r="21">
      <c r="A21" t="inlineStr">
        <is>
          <t>QBE</t>
        </is>
      </c>
      <c r="B21" t="inlineStr">
        <is>
          <t>Madison</t>
        </is>
      </c>
      <c r="C21" t="inlineStr">
        <is>
          <t>Insurance services</t>
        </is>
      </c>
      <c r="D21" t="inlineStr">
        <is>
          <t>Machine learning and data science aspect</t>
        </is>
      </c>
      <c r="E21" t="inlineStr">
        <is>
          <t>type shi</t>
        </is>
      </c>
      <c r="N21" t="inlineStr">
        <is>
          <t xml:space="preserve">(09/21/26) </t>
        </is>
      </c>
      <c r="P21" t="inlineStr">
        <is>
          <t>GOT A PHONE INTERVIEW NICE</t>
        </is>
      </c>
    </row>
    <row r="22">
      <c r="A22" t="inlineStr">
        <is>
          <t>plexus</t>
        </is>
      </c>
      <c r="B22" t="inlineStr">
        <is>
          <t>Madison</t>
        </is>
      </c>
      <c r="C22" t="inlineStr">
        <is>
          <t>data and communications products</t>
        </is>
      </c>
      <c r="D22" t="inlineStr">
        <is>
          <t>software and shi idk</t>
        </is>
      </c>
      <c r="N22" t="inlineStr">
        <is>
          <t xml:space="preserve">(09/21/26) </t>
        </is>
      </c>
    </row>
    <row r="23">
      <c r="A23" t="inlineStr">
        <is>
          <t>Ambarella</t>
        </is>
      </c>
      <c r="B23" t="inlineStr">
        <is>
          <t>international</t>
        </is>
      </c>
      <c r="C23" t="inlineStr">
        <is>
          <t>semiconductor and computer vision</t>
        </is>
      </c>
      <c r="D23" t="inlineStr">
        <is>
          <t>engineering shi</t>
        </is>
      </c>
      <c r="N23" t="inlineStr">
        <is>
          <t xml:space="preserve">(09/21/26) </t>
        </is>
      </c>
    </row>
    <row r="24">
      <c r="A24" t="inlineStr">
        <is>
          <t>IBM</t>
        </is>
      </c>
      <c r="B24" t="inlineStr">
        <is>
          <t>international</t>
        </is>
      </c>
      <c r="C24" t="inlineStr">
        <is>
          <t>silicon researcher</t>
        </is>
      </c>
      <c r="N24" t="inlineStr">
        <is>
          <t xml:space="preserve">(09/21/26) </t>
        </is>
      </c>
    </row>
    <row r="25">
      <c r="A25" t="inlineStr">
        <is>
          <t xml:space="preserve">Motorola </t>
        </is>
      </c>
      <c r="B25" t="inlineStr">
        <is>
          <t>international</t>
        </is>
      </c>
      <c r="C25" t="inlineStr">
        <is>
          <t>FPGA design intern</t>
        </is>
      </c>
      <c r="N25" t="inlineStr">
        <is>
          <t xml:space="preserve">(09/21/26) </t>
        </is>
      </c>
    </row>
    <row r="26">
      <c r="A26" t="inlineStr">
        <is>
          <t>Tesla</t>
        </is>
      </c>
      <c r="B26" t="inlineStr">
        <is>
          <t>international</t>
        </is>
      </c>
      <c r="C26" t="inlineStr">
        <is>
          <t>AI HARDWARD INTERN</t>
        </is>
      </c>
      <c r="N26" s="17" t="n">
        <v>46293</v>
      </c>
    </row>
    <row r="27">
      <c r="A27" t="inlineStr">
        <is>
          <t>Dell</t>
        </is>
      </c>
      <c r="B27" t="inlineStr">
        <is>
          <t>Texas</t>
        </is>
      </c>
      <c r="C27" t="inlineStr">
        <is>
          <t>Cloud service gateway hardware intern</t>
        </is>
      </c>
      <c r="D27" t="inlineStr">
        <is>
          <t>Hardware and shi</t>
        </is>
      </c>
      <c r="E27" t="inlineStr">
        <is>
          <t>Hardware projects and curiousity?</t>
        </is>
      </c>
      <c r="N27" s="17" t="n">
        <v>46293</v>
      </c>
    </row>
    <row r="28">
      <c r="A28" t="inlineStr">
        <is>
          <t>Micron</t>
        </is>
      </c>
      <c r="B28" t="inlineStr">
        <is>
          <t>Texas</t>
        </is>
      </c>
      <c r="C28" t="inlineStr">
        <is>
          <t>Intern design engineer</t>
        </is>
      </c>
      <c r="N28" s="17" t="n">
        <v>46293</v>
      </c>
    </row>
    <row r="29">
      <c r="A29" t="inlineStr">
        <is>
          <t>NXP semis</t>
        </is>
      </c>
      <c r="B29" t="inlineStr">
        <is>
          <t>Texas</t>
        </is>
      </c>
      <c r="C29" t="inlineStr">
        <is>
          <t>Digital Design Intern</t>
        </is>
      </c>
      <c r="N29" s="17" t="n">
        <v>46293</v>
      </c>
    </row>
    <row r="30">
      <c r="A30" t="inlineStr">
        <is>
          <t>GE-healthcare</t>
        </is>
      </c>
      <c r="B30" t="inlineStr">
        <is>
          <t>MADISON</t>
        </is>
      </c>
      <c r="C30" t="inlineStr">
        <is>
          <t>Digital Design Intern</t>
        </is>
      </c>
      <c r="N30" s="17" t="n">
        <v>46293</v>
      </c>
    </row>
    <row r="31">
      <c r="N31" s="17" t="n">
        <v>46293</v>
      </c>
    </row>
  </sheetData>
  <conditionalFormatting sqref="H2:H31">
    <cfRule type="colorScale" priority="1">
      <colorScale>
        <cfvo type="min"/>
        <cfvo type="percentile" val="50"/>
        <cfvo type="max"/>
        <color rgb="FFFEE2E2"/>
        <color rgb="FFFEF3C7"/>
        <color rgb="FFDCFCE7"/>
      </colorScale>
    </cfRule>
  </conditionalFormatting>
  <dataValidations count="1">
    <dataValidation sqref="N2:N20" showDropDown="0" showInputMessage="0" showErrorMessage="0" allowBlank="0" type="list">
      <formula1>"Not contacted,Applied,Messaged,Followed up,Interviewing,Rejected,Paused,Closed,Won"</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tabColor rgb="001F4E78"/>
    <outlinePr summaryBelow="1" summaryRight="1"/>
    <pageSetUpPr/>
  </sheetPr>
  <dimension ref="A1:I91"/>
  <sheetViews>
    <sheetView tabSelected="1" workbookViewId="0">
      <pane ySplit="1" topLeftCell="A2" activePane="bottomLeft" state="frozen"/>
      <selection pane="bottomLeft" activeCell="A1" sqref="A1"/>
    </sheetView>
  </sheetViews>
  <sheetFormatPr baseColWidth="8" defaultRowHeight="14.25"/>
  <cols>
    <col width="12" customWidth="1" min="1" max="1"/>
    <col width="16" customWidth="1" min="2" max="2"/>
    <col width="42" customWidth="1" min="3" max="3"/>
    <col width="32" customWidth="1" min="4" max="4"/>
    <col width="28" customWidth="1" min="5" max="5"/>
    <col width="13" customWidth="1" min="6" max="6"/>
    <col width="30" customWidth="1" min="7" max="7"/>
    <col width="40" customWidth="1" min="8" max="8"/>
    <col width="50" customWidth="1" min="9" max="9"/>
  </cols>
  <sheetData>
    <row r="1">
      <c r="A1" s="35" t="inlineStr">
        <is>
          <t>Date</t>
        </is>
      </c>
      <c r="B1" s="35" t="inlineStr">
        <is>
          <t>Company</t>
        </is>
      </c>
      <c r="C1" s="35" t="inlineStr">
        <is>
          <t>Role</t>
        </is>
      </c>
      <c r="D1" s="35" t="inlineStr">
        <is>
          <t>Location</t>
        </is>
      </c>
      <c r="E1" s="35" t="inlineStr">
        <is>
          <t>Posting URL</t>
        </is>
      </c>
      <c r="F1" s="35" t="inlineStr">
        <is>
          <t>Status</t>
        </is>
      </c>
      <c r="G1" s="35" t="inlineStr">
        <is>
          <t>Resume</t>
        </is>
      </c>
      <c r="H1" s="35" t="inlineStr">
        <is>
          <t>Confirmation</t>
        </is>
      </c>
      <c r="I1" s="35" t="inlineStr">
        <is>
          <t>Notes</t>
        </is>
      </c>
    </row>
    <row r="2">
      <c r="A2" s="3" t="inlineStr">
        <is>
          <t>2026-10-18</t>
        </is>
      </c>
      <c r="B2" s="3" t="inlineStr">
        <is>
          <t>Meta</t>
        </is>
      </c>
      <c r="C2" s="3" t="inlineStr">
        <is>
          <t>ASIC Design Engineer Intern</t>
        </is>
      </c>
      <c r="D2" s="3" t="inlineStr">
        <is>
          <t>Sunnyvale, CA</t>
        </is>
      </c>
      <c r="E2" s="36" t="inlineStr">
        <is>
          <t>https://www.metacareers.com/jobs/1406976394946562</t>
        </is>
      </c>
      <c r="F2" s="37" t="inlineStr">
        <is>
          <t>SUBMITTED</t>
        </is>
      </c>
      <c r="G2" s="3" t="inlineStr">
        <is>
          <t>asResumeFa26_i.pdf</t>
        </is>
      </c>
      <c r="H2" s="3" t="inlineStr">
        <is>
          <t>"Thanks for applying, Adam Shebani." / "Your application for the ASIC Design Engineer Intern role has been received."</t>
        </is>
      </c>
      <c r="I2" s="3" t="inlineStr">
        <is>
          <t>Agent end-to-end test (authorized). No confirmation number; no Career Profile account created.</t>
        </is>
      </c>
    </row>
    <row r="3">
      <c r="A3" s="3" t="inlineStr">
        <is>
          <t>2026-10-19</t>
        </is>
      </c>
      <c r="B3" s="3" t="inlineStr">
        <is>
          <t>Meta</t>
        </is>
      </c>
      <c r="C3" s="3" t="inlineStr">
        <is>
          <t>ASIC Engineering Intern, Design Verification (Silicon Engineering)</t>
        </is>
      </c>
      <c r="D3" s="3" t="inlineStr">
        <is>
          <t>Sunnyvale, CA</t>
        </is>
      </c>
      <c r="E3" s="36" t="inlineStr">
        <is>
          <t>https://www.metacareers.com/jobs/1079763448023260</t>
        </is>
      </c>
      <c r="F3" s="37" t="inlineStr">
        <is>
          <t>SUBMITTED</t>
        </is>
      </c>
      <c r="G3" s="3" t="inlineStr">
        <is>
          <t>asResumeFa26_i.pdf</t>
        </is>
      </c>
      <c r="H3" s="3" t="inlineStr">
        <is>
          <t>"Thanks for applying, Adam Shebani. Your application for the ASIC Engineering Intern, Design Verification (Silicon Engineering) role has been received."</t>
        </is>
      </c>
      <c r="I3" s="3" t="inlineStr">
        <is>
          <t>Prelim AI screener could not verify 2 min quals from resume — "Submit anyway" clicked (preliminary only).</t>
        </is>
      </c>
    </row>
    <row r="4">
      <c r="A4" s="3" t="inlineStr">
        <is>
          <t>2026-10-19</t>
        </is>
      </c>
      <c r="B4" s="3" t="inlineStr">
        <is>
          <t>Tenstorrent</t>
        </is>
      </c>
      <c r="C4" s="3" t="inlineStr">
        <is>
          <t>Physical Design &amp; DFT Intern</t>
        </is>
      </c>
      <c r="D4" s="3" t="inlineStr">
        <is>
          <t>Austin TX / Santa Clara CA / Boston MA / Fort Collins CO</t>
        </is>
      </c>
      <c r="E4" s="36" t="inlineStr">
        <is>
          <t>https://job-boards.greenhouse.io/tenstorrentuniversity/jobs/5256706007</t>
        </is>
      </c>
      <c r="F4" s="37" t="inlineStr">
        <is>
          <t>SUBMITTED</t>
        </is>
      </c>
      <c r="G4" s="3" t="inlineStr">
        <is>
          <t>asResumeFa26_i.pdf + transcript asSum26Transcript.pdf</t>
        </is>
      </c>
      <c r="H4" s="3" t="inlineStr">
        <is>
          <t>"Thank you for applying. Your application has been received."</t>
        </is>
      </c>
      <c r="I4" s="3" t="inlineStr">
        <is>
          <t>reCAPTCHA blocked 5 auto attempts; submit succeeded on retry. Teams: Physical Design + Advanced Physical Design.</t>
        </is>
      </c>
    </row>
    <row r="5">
      <c r="A5" s="3" t="inlineStr">
        <is>
          <t>2026-10-19</t>
        </is>
      </c>
      <c r="B5" s="3" t="inlineStr">
        <is>
          <t>GlobalFoundries</t>
        </is>
      </c>
      <c r="C5" s="3" t="inlineStr">
        <is>
          <t>Foundation IP Design Verification Intern (Summer 2027)</t>
        </is>
      </c>
      <c r="D5" s="3" t="inlineStr">
        <is>
          <t>Santa Clara, CA</t>
        </is>
      </c>
      <c r="E5" s="36" t="inlineStr">
        <is>
          <t>https://globalfoundries.wd1.myworkdayjobs.com/en-US/External/job/USA---California---Santa-Clara/Foundation-IP-Design-Verification-Intern--Summer-2027-_JR-2604356/apply/applyManually</t>
        </is>
      </c>
      <c r="F5" s="37" t="inlineStr">
        <is>
          <t>SUBMITTED</t>
        </is>
      </c>
      <c r="G5" s="3" t="inlineStr">
        <is>
          <t>asResumeFa26_i.pdf</t>
        </is>
      </c>
      <c r="H5" s="3" t="inlineStr">
        <is>
          <t>"Application Submitted — Your application has successfully been submitted. You have no more tasks."</t>
        </is>
      </c>
      <c r="I5" s="3" t="inlineStr">
        <is>
          <t>Workday account created w/ burner Gmail. 6 background Qs answered by Adam, now in DB.</t>
        </is>
      </c>
    </row>
    <row r="6">
      <c r="A6" s="3" t="inlineStr">
        <is>
          <t>2026-10-19</t>
        </is>
      </c>
      <c r="B6" s="3" t="inlineStr">
        <is>
          <t>HPE</t>
        </is>
      </c>
      <c r="C6" s="3" t="inlineStr">
        <is>
          <t>ASIC Verification Engineering Intern</t>
        </is>
      </c>
      <c r="D6" s="3" t="inlineStr">
        <is>
          <t>Roseville, CA 95747 (Hybrid)</t>
        </is>
      </c>
      <c r="E6" s="36" t="inlineStr">
        <is>
          <t>https://careers.hpe.com (Job ID 1214219)</t>
        </is>
      </c>
      <c r="F6" s="37" t="inlineStr">
        <is>
          <t>SUBMITTED</t>
        </is>
      </c>
      <c r="G6" s="3" t="inlineStr">
        <is>
          <t>asResumeFa26_i.pdf</t>
        </is>
      </c>
      <c r="H6" s="3" t="inlineStr">
        <is>
          <t>"Adam, you have successfully applied for: ASIC Verification Engineering Intern, Roseville, California, 95747"</t>
        </is>
      </c>
      <c r="I6" s="3" t="inlineStr">
        <is>
          <t>Phenom platform (no account needed). Candidate ID CANDIDATE-3-6146137. 6 compliance Qs answered by Adam, now in DB.</t>
        </is>
      </c>
    </row>
    <row r="7">
      <c r="A7" s="3" t="inlineStr">
        <is>
          <t>2026-10-19</t>
        </is>
      </c>
      <c r="B7" s="3" t="inlineStr">
        <is>
          <t>HPE</t>
        </is>
      </c>
      <c r="C7" s="3" t="inlineStr">
        <is>
          <t>ASIC Intern</t>
        </is>
      </c>
      <c r="D7" s="3" t="inlineStr">
        <is>
          <t>Sunnyvale, CA 94089</t>
        </is>
      </c>
      <c r="E7" s="36" t="inlineStr">
        <is>
          <t>https://careers.hpe.com (Job ID 1214034)</t>
        </is>
      </c>
      <c r="F7" s="37" t="inlineStr">
        <is>
          <t>SUBMITTED</t>
        </is>
      </c>
      <c r="G7" s="3" t="inlineStr">
        <is>
          <t>asResumeFa26_i.pdf</t>
        </is>
      </c>
      <c r="H7" s="3" t="inlineStr">
        <is>
          <t>"Thank you for your Application — ASIC Intern, Sunnyvale, California, 94089"</t>
        </is>
      </c>
      <c r="I7" s="3" t="inlineStr">
        <is>
          <t>Phenom platform (no account needed). Same 6 compliance answers.</t>
        </is>
      </c>
    </row>
    <row r="8">
      <c r="A8" s="3" t="inlineStr">
        <is>
          <t>2026-10-19</t>
        </is>
      </c>
      <c r="B8" s="3" t="inlineStr">
        <is>
          <t>Amazon</t>
        </is>
      </c>
      <c r="C8" s="3" t="inlineStr">
        <is>
          <t>Hardware Development Engineer Intern (Summer 2027)</t>
        </is>
      </c>
      <c r="D8" s="3" t="inlineStr">
        <is>
          <t>Sunnyvale CA / North Reading MA / Hawthorne CA</t>
        </is>
      </c>
      <c r="E8" s="36" t="inlineStr">
        <is>
          <t>https://amazon.jobs/en/jobs/10578090/hardware-development-engineer-intern-summer-2027</t>
        </is>
      </c>
      <c r="F8" s="37" t="inlineStr">
        <is>
          <t>SUBMITTED</t>
        </is>
      </c>
      <c r="G8" s="3" t="inlineStr">
        <is>
          <t>asResumeFa26_i.pdf</t>
        </is>
      </c>
      <c r="H8" s="3" t="inlineStr">
        <is>
          <t>"Thank you for applying! Your application for Hardware Development Engineer Intern, Summer 2027 (Job ID: 10578090) has been submitted."</t>
        </is>
      </c>
      <c r="I8" s="3" t="inlineStr">
        <is>
          <t>amazon.jobs account created w/ burner Gmail. 10 job-specific + blue-badge answers from Adam, now in DB. Hardware areas: form had no RTL/PCB option, selected Other.</t>
        </is>
      </c>
    </row>
    <row r="9">
      <c r="A9" s="3" t="inlineStr">
        <is>
          <t>2026-10-20</t>
        </is>
      </c>
      <c r="B9" s="3" t="inlineStr">
        <is>
          <t>Meta</t>
        </is>
      </c>
      <c r="C9" s="3" t="inlineStr">
        <is>
          <t>ASIC Engineer Intern - Architecture</t>
        </is>
      </c>
      <c r="D9" s="3" t="inlineStr">
        <is>
          <t>Austin TX / Sunnyvale CA</t>
        </is>
      </c>
      <c r="E9" s="36" t="inlineStr">
        <is>
          <t>https://www.metacareers.com/jobs/1096213456288397</t>
        </is>
      </c>
      <c r="F9" s="37" t="inlineStr">
        <is>
          <t>SUBMITTED</t>
        </is>
      </c>
      <c r="G9" s="3" t="inlineStr">
        <is>
          <t>asResumeFa26_i.pdf</t>
        </is>
      </c>
      <c r="H9" s="3" t="inlineStr">
        <is>
          <t>"Thanks for applying, Adam Shebani" — Meta confirmation email 2026-10-20</t>
        </is>
      </c>
      <c r="I9" s="3" t="inlineStr">
        <is>
          <t>Submitted by 10-20 loop run (env blocker healed). Prelim AI flagged 2 quals, submitted anyway. No Career Profile created.</t>
        </is>
      </c>
    </row>
    <row r="10">
      <c r="A10" s="3" t="inlineStr">
        <is>
          <t>2026-10-20</t>
        </is>
      </c>
      <c r="B10" s="3" t="inlineStr">
        <is>
          <t>Meta</t>
        </is>
      </c>
      <c r="C10" s="3" t="inlineStr">
        <is>
          <t>Hardware Engineer Intern - Camera &amp; Sensing Architecture</t>
        </is>
      </c>
      <c r="D10" s="3" t="inlineStr">
        <is>
          <t>Redmond WA / Sunnyvale CA</t>
        </is>
      </c>
      <c r="E10" s="36" t="inlineStr">
        <is>
          <t>https://www.metacareers.com/jobs/29216393121298039</t>
        </is>
      </c>
      <c r="F10" s="37" t="inlineStr">
        <is>
          <t>SUBMITTED</t>
        </is>
      </c>
      <c r="G10" s="3" t="inlineStr">
        <is>
          <t>asResumeFa26_i.pdf</t>
        </is>
      </c>
      <c r="H10" s="3" t="inlineStr">
        <is>
          <t>"Thanks for applying, Adam Shebani" — Meta confirmation email 2026-10-20</t>
        </is>
      </c>
      <c r="I10" s="3" t="inlineStr">
        <is>
          <t>Submitted by 10-20 loop run (env blocker healed). Prelim AI flagged 4 quals, submitted anyway. Guest apply.</t>
        </is>
      </c>
    </row>
    <row r="11">
      <c r="A11" s="3" t="inlineStr">
        <is>
          <t>2026-10-19</t>
        </is>
      </c>
      <c r="B11" s="3" t="inlineStr">
        <is>
          <t>Cirrus Logic</t>
        </is>
      </c>
      <c r="C11" s="3" t="inlineStr">
        <is>
          <t>Digital Design Engineer Intern</t>
        </is>
      </c>
      <c r="D11" s="3" t="inlineStr">
        <is>
          <t>Austin, TX</t>
        </is>
      </c>
      <c r="E11" s="36" t="inlineStr">
        <is>
          <t>https://jobs.eu.lever.co/cirrus/0310fbd1-a2a8-4c0f-a842-86e05ae7d98e/apply</t>
        </is>
      </c>
      <c r="F11" s="39" t="inlineStr">
        <is>
          <t>BLOCKED</t>
        </is>
      </c>
      <c r="G11" s="3" t="inlineStr">
        <is>
          <t>asResumeFa26_i.pdf</t>
        </is>
      </c>
      <c r="H11" s="3" t="inlineStr"/>
      <c r="I11" s="3" t="inlineStr">
        <is>
          <t>Env: 1Password autofill withholding page views. Retry when healed.</t>
        </is>
      </c>
    </row>
    <row r="12">
      <c r="A12" s="3" t="inlineStr">
        <is>
          <t>2026-10-20</t>
        </is>
      </c>
      <c r="B12" s="3" t="inlineStr">
        <is>
          <t>Astera Labs</t>
        </is>
      </c>
      <c r="C12" s="3" t="inlineStr">
        <is>
          <t>Design Verification Engineer Intern</t>
        </is>
      </c>
      <c r="D12" s="3" t="inlineStr">
        <is>
          <t>San Jose, CA</t>
        </is>
      </c>
      <c r="E12" s="36" t="inlineStr">
        <is>
          <t>https://job-boards.greenhouse.io/asteraearlycareer2027/jobs/4722012005</t>
        </is>
      </c>
      <c r="F12" s="37" t="inlineStr">
        <is>
          <t>SUBMITTED</t>
        </is>
      </c>
      <c r="G12" s="3" t="inlineStr">
        <is>
          <t>asResumeFa26_i.pdf</t>
        </is>
      </c>
      <c r="H12" s="3" t="inlineStr">
        <is>
          <t>Greenhouse: "Thank you for applying to Astera Labs Early Career - North America 2027" (2026-10-20)</t>
        </is>
      </c>
      <c r="I12" s="3" t="inlineStr">
        <is>
          <t>Submitted by 10-20 loop run (env blocker healed).</t>
        </is>
      </c>
    </row>
    <row r="13">
      <c r="A13" s="3" t="inlineStr">
        <is>
          <t>2026-10-20</t>
        </is>
      </c>
      <c r="B13" s="3" t="inlineStr">
        <is>
          <t>Astera Labs</t>
        </is>
      </c>
      <c r="C13" s="3" t="inlineStr">
        <is>
          <t>Digital Design Intern</t>
        </is>
      </c>
      <c r="D13" s="3" t="inlineStr">
        <is>
          <t>San Jose, CA</t>
        </is>
      </c>
      <c r="E13" s="36" t="inlineStr">
        <is>
          <t>https://job-boards.greenhouse.io/asteraearlycareer2027/jobs/4731407005</t>
        </is>
      </c>
      <c r="F13" s="37" t="inlineStr">
        <is>
          <t>SUBMITTED</t>
        </is>
      </c>
      <c r="G13" s="3" t="inlineStr">
        <is>
          <t>asResumeFa26_i.pdf</t>
        </is>
      </c>
      <c r="H13" s="3" t="inlineStr">
        <is>
          <t>Greenhouse: "Thank you for applying to Astera Labs Early Career - North America 2027" (2026-10-20)</t>
        </is>
      </c>
      <c r="I13" s="3" t="inlineStr">
        <is>
          <t>Submitted by 10-20 loop run (env blocker healed).</t>
        </is>
      </c>
    </row>
    <row r="14">
      <c r="A14" s="3" t="inlineStr">
        <is>
          <t>2026-10-19</t>
        </is>
      </c>
      <c r="B14" s="3" t="inlineStr">
        <is>
          <t>Meter</t>
        </is>
      </c>
      <c r="C14" s="3" t="inlineStr">
        <is>
          <t>Hardware Engineer Intern</t>
        </is>
      </c>
      <c r="D14" s="3" t="inlineStr">
        <is>
          <t>Remote (US)</t>
        </is>
      </c>
      <c r="E14" s="36" t="inlineStr">
        <is>
          <t>https://jobs.ashbyhq.com/meter/a5f1e4c3-2930-4933-ab38-8f600486494b/application?embed=true</t>
        </is>
      </c>
      <c r="F14" s="40" t="inlineStr">
        <is>
          <t>DEAD POSTING</t>
        </is>
      </c>
      <c r="G14" s="3" t="inlineStr"/>
      <c r="H14" s="3" t="inlineStr"/>
      <c r="I14" s="3" t="inlineStr">
        <is>
          <t>Ashby "Job not found" — role removed.</t>
        </is>
      </c>
    </row>
    <row r="15">
      <c r="A15" s="3" t="inlineStr">
        <is>
          <t>2026-10-20</t>
        </is>
      </c>
      <c r="B15" s="3" t="inlineStr">
        <is>
          <t>Tenstorrent</t>
        </is>
      </c>
      <c r="C15" s="3" t="inlineStr">
        <is>
          <t>Hardware Intern - Architecture, AI HW &amp; SoC (USA)</t>
        </is>
      </c>
      <c r="D15" s="3" t="inlineStr">
        <is>
          <t>Austin TX / Boston MA / Fort Collins CO / Santa Clara CA</t>
        </is>
      </c>
      <c r="E15" s="36" t="inlineStr">
        <is>
          <t>https://job-boards.greenhouse.io/tenstorrentuniversity/jobs/5256691007</t>
        </is>
      </c>
      <c r="F15" s="37" t="inlineStr">
        <is>
          <t>SUBMITTED</t>
        </is>
      </c>
      <c r="G15" s="3" t="inlineStr">
        <is>
          <t>asResumeFa26_i.pdf + transcript</t>
        </is>
      </c>
      <c r="H15" s="3" t="inlineStr">
        <is>
          <t>"Thank you for applying. Your application has been received. If there is a fit, someone will be getting back to you."</t>
        </is>
      </c>
      <c r="I15" s="3" t="inlineStr">
        <is>
          <t>First-attempt submit worked; team-preference dropdown left blank (Adam open broadly).</t>
        </is>
      </c>
    </row>
    <row r="16">
      <c r="A16" s="3" t="inlineStr">
        <is>
          <t>2026-10-20</t>
        </is>
      </c>
      <c r="B16" s="3" t="inlineStr">
        <is>
          <t>Amazon</t>
        </is>
      </c>
      <c r="C16" s="3" t="inlineStr">
        <is>
          <t>Hardware Development Engineer Intern/Co-Op, ROBOTICS - 2027</t>
        </is>
      </c>
      <c r="D16" s="3" t="inlineStr">
        <is>
          <t>North Reading / Westboro MA</t>
        </is>
      </c>
      <c r="E16" s="36" t="inlineStr">
        <is>
          <t>https://amazon.jobs/en/jobs/10535282</t>
        </is>
      </c>
      <c r="F16" s="37" t="inlineStr">
        <is>
          <t>SUBMITTED</t>
        </is>
      </c>
      <c r="G16" s="3" t="inlineStr">
        <is>
          <t>asResumeFa26_i.pdf</t>
        </is>
      </c>
      <c r="H16" s="3" t="inlineStr">
        <is>
          <t>"Thank you for applying! Your application for Hardware Development Engineer Intern/Co-Op, ROBOTICS - 2027 (Job ID: 10535282) has been submitted."</t>
        </is>
      </c>
      <c r="I16" s="3" t="inlineStr">
        <is>
          <t>Answers from Adam 10-20: CAD none-of-listed (Altium/KiCad), grad 12/20/2027, robotics minimal.</t>
        </is>
      </c>
    </row>
    <row r="17">
      <c r="A17" s="3" t="inlineStr">
        <is>
          <t>2026-10-20</t>
        </is>
      </c>
      <c r="B17" s="3" t="inlineStr">
        <is>
          <t>Hudson River Trading</t>
        </is>
      </c>
      <c r="C17" s="3" t="inlineStr">
        <is>
          <t>Hardware Design Engineer - 2027 Grads</t>
        </is>
      </c>
      <c r="D17" s="3" t="inlineStr">
        <is>
          <t>New York, NY</t>
        </is>
      </c>
      <c r="E17" s="36" t="inlineStr">
        <is>
          <t>https://www.hudsonrivertrading.com/hrt-job/hardware-design-engineer-2027-grads/</t>
        </is>
      </c>
      <c r="F17" s="37" t="inlineStr">
        <is>
          <t>SUBMITTED</t>
        </is>
      </c>
      <c r="G17" s="3" t="inlineStr">
        <is>
          <t>asResumeFa26_n.pdf</t>
        </is>
      </c>
      <c r="H17" s="3" t="inlineStr">
        <is>
          <t>"Your application has been received! If you are selected to continue the interview process, you will receive an email detailing what's next."</t>
        </is>
      </c>
      <c r="I17" s="3" t="inlineStr">
        <is>
          <t>One-application policy honored (Hardware Design Engineer). Employer dropdown: Adam chose "Other - No Former Employment". EEO race: no Two-or-More option, selected "I don't wish to answer".</t>
        </is>
      </c>
    </row>
    <row r="18">
      <c r="A18" s="3" t="inlineStr">
        <is>
          <t>2026-10-20</t>
        </is>
      </c>
      <c r="B18" s="3" t="inlineStr">
        <is>
          <t>Micron</t>
        </is>
      </c>
      <c r="C18" s="3" t="inlineStr">
        <is>
          <t>Intern - SSD Hardware Engineering (JR114232)</t>
        </is>
      </c>
      <c r="D18" s="3" t="inlineStr">
        <is>
          <t>Longmont, CO</t>
        </is>
      </c>
      <c r="E18" s="36" t="inlineStr">
        <is>
          <t>https://careers.micron.com</t>
        </is>
      </c>
      <c r="F18" s="37" t="inlineStr">
        <is>
          <t>SUBMITTED</t>
        </is>
      </c>
      <c r="G18" s="3" t="inlineStr">
        <is>
          <t>asResumeFa26_i.pdf</t>
        </is>
      </c>
      <c r="H18" s="3" t="inlineStr">
        <is>
          <t>"Thank you for your application, Adam!" — Micron success page 2026-10-20</t>
        </is>
      </c>
      <c r="I18" s="3" t="inlineStr">
        <is>
          <t>Adam answers 10-20: applied before Yes, terminated No, board No/No. Availability: more than 2 months after offer (earliest start 05/14/2027).</t>
        </is>
      </c>
    </row>
    <row r="19">
      <c r="A19" s="41" t="inlineStr">
        <is>
          <t>2026-10-20</t>
        </is>
      </c>
      <c r="B19" s="41" t="inlineStr">
        <is>
          <t>RTX</t>
        </is>
      </c>
      <c r="C19" s="41" t="inlineStr">
        <is>
          <t>Digital Hardware Design Engineer (2027 NCG)</t>
        </is>
      </c>
      <c r="D19" s="41" t="inlineStr">
        <is>
          <t>El Segundo, CA</t>
        </is>
      </c>
      <c r="E19" s="41" t="inlineStr">
        <is>
          <t>https://careers.rtx.com/global/en/job/01873795/Digital-Hardware-Design-Engineer-Onsite</t>
        </is>
      </c>
      <c r="F19" s="42" t="inlineStr">
        <is>
          <t>SUBMITTED</t>
        </is>
      </c>
      <c r="G19" s="41" t="inlineStr">
        <is>
          <t>asResumeFa26_n.pdf</t>
        </is>
      </c>
      <c r="H19" s="3" t="inlineStr">
        <is>
          <t>Job App ID 751faeb486469001209fd0603c020002; Candidate C13046056</t>
        </is>
      </c>
      <c r="I19" s="3" t="inlineStr">
        <is>
          <t>Adam waived clearance knockout; clearance answered truthfully No (never held)</t>
        </is>
      </c>
    </row>
    <row r="20">
      <c r="A20" t="inlineStr">
        <is>
          <t>2026-10-21</t>
        </is>
      </c>
      <c r="B20" t="inlineStr">
        <is>
          <t>Skydio</t>
        </is>
      </c>
      <c r="C20" t="inlineStr">
        <is>
          <t>Wireless Hardware Engineer Intern - Summer 2027</t>
        </is>
      </c>
      <c r="D20" t="inlineStr">
        <is>
          <t>San Mateo, CA</t>
        </is>
      </c>
      <c r="E20" t="inlineStr">
        <is>
          <t>https://jobs.ashbyhq.com/skydio/1ac972b1-8094-4765-8869-63e1c4d50dea/application?embed=true</t>
        </is>
      </c>
      <c r="F20" t="inlineStr">
        <is>
          <t>SUBMITTED</t>
        </is>
      </c>
      <c r="G20" t="inlineStr">
        <is>
          <t>asResumeFa26_i.pdf</t>
        </is>
      </c>
      <c r="H20" t="inlineStr">
        <is>
          <t>"Success — Thank you for submitting your application. We are thrilled you would consider joining us. The team will review your application, and we will be in touch soon if it seems like there could be a good fit." (Ashby, no confirmation number)</t>
        </is>
      </c>
      <c r="I20" t="inlineStr">
        <is>
          <t>No account required; start month May 2027 selected; gov-employment No; transcript not required.</t>
        </is>
      </c>
    </row>
    <row r="21">
      <c r="A21" t="inlineStr">
        <is>
          <t>2026-10-21</t>
        </is>
      </c>
      <c r="B21" t="inlineStr">
        <is>
          <t>onsemi</t>
        </is>
      </c>
      <c r="C21" t="inlineStr">
        <is>
          <t>Semiconductor AI Specialist Intern (Spring 2027, job 2506918)</t>
        </is>
      </c>
      <c r="D21" t="inlineStr">
        <is>
          <t>Gresham, OR</t>
        </is>
      </c>
      <c r="E21" t="inlineStr">
        <is>
          <t>https://hctz.fa.us2.oraclecloud.com/hcmUI/CandidateExperience/en/sites/CX_1001/job/2506918</t>
        </is>
      </c>
      <c r="F21" t="inlineStr">
        <is>
          <t>SUBMITTED</t>
        </is>
      </c>
      <c r="G21" t="inlineStr">
        <is>
          <t>asResumeFa26_i.pdf</t>
        </is>
      </c>
      <c r="H21" t="inlineStr">
        <is>
          <t>Candidate profile: ACTIVE JOB APPLICATIONS — Status: Under Consideration, Job ID 2506918, Applied on 10/21/2026</t>
        </is>
      </c>
      <c r="I21" t="inlineStr">
        <is>
          <t>How-heard Company Website -&gt; industry interest (DB). Email verification completed. No password account; profile under adamsheb414@gmail.com. Transcript not required.</t>
        </is>
      </c>
    </row>
    <row r="22">
      <c r="A22" t="inlineStr">
        <is>
          <t>2026-10-21</t>
        </is>
      </c>
      <c r="B22" t="inlineStr">
        <is>
          <t>Rockwell Automation</t>
        </is>
      </c>
      <c r="C22" t="inlineStr">
        <is>
          <t>Intern - Hardware Development Engineer (May-Aug 2027, req R26-6892)</t>
        </is>
      </c>
      <c r="D22" t="inlineStr">
        <is>
          <t>Mayfield Heights, OH</t>
        </is>
      </c>
      <c r="E22" t="inlineStr">
        <is>
          <t>https://rockwellautomation.wd1.myworkdayjobs.com/external_rockwell_automation/job/Mayfield-Heights-Ohio-United-States/Intern--Hardware-Development-Engineer--May---Aug-2027-_R26-6892-1</t>
        </is>
      </c>
      <c r="F22" t="inlineStr">
        <is>
          <t>SUBMITTED</t>
        </is>
      </c>
      <c r="G22" t="inlineStr">
        <is>
          <t>asResumeFa26_i.pdf</t>
        </is>
      </c>
      <c r="H22" t="inlineStr">
        <is>
          <t>"Application Submitted — Thank you for applying to Rockwell Automation! ... We've received your application, and someone from our team will be in touch soon."</t>
        </is>
      </c>
      <c r="I22" t="inlineStr">
        <is>
          <t>Candidate Home: Active (1), Under Review, Date Submitted 10/21/2026. Workday account created (musebabashebani@gmail.com). Transcript not required.</t>
        </is>
      </c>
    </row>
    <row r="23">
      <c r="A23" t="inlineStr">
        <is>
          <t>2026-10-21</t>
        </is>
      </c>
      <c r="B23" t="inlineStr">
        <is>
          <t>Extreme Engineering Solutions (X-ES)</t>
        </is>
      </c>
      <c r="C23" t="inlineStr">
        <is>
          <t>Hardware Debug Engineer (req #HARDW001758, new-grad)</t>
        </is>
      </c>
      <c r="D23" t="inlineStr">
        <is>
          <t>Verona, WI</t>
        </is>
      </c>
      <c r="E23" t="inlineStr">
        <is>
          <t>https://www.xes-inc.com/about/careers/full-time-employment-opportunities/hardware-debug-engineer/</t>
        </is>
      </c>
      <c r="F23" t="inlineStr">
        <is>
          <t>SUBMITTED</t>
        </is>
      </c>
      <c r="G23" t="inlineStr">
        <is>
          <t>asResumeFa26_n.pdf</t>
        </is>
      </c>
      <c r="H23" t="inlineStr">
        <is>
          <t>"You applied for Hardware Debug Engineer — Thank you! Your application was submitted." Application ID 04ff826e-a0e2-4ef1-bf89-5cb22d7c0830</t>
        </is>
      </c>
      <c r="I23" t="inlineStr">
        <is>
          <t>UKG/UltiPro candidate account created (musebabashebani@gmail.com). All questions DB-covered. Transcript not required.</t>
        </is>
      </c>
    </row>
    <row r="24">
      <c r="A24" t="inlineStr">
        <is>
          <t>2026-10-21</t>
        </is>
      </c>
      <c r="B24" t="inlineStr">
        <is>
          <t>Extreme Engineering Solutions (X-ES)</t>
        </is>
      </c>
      <c r="C24" t="inlineStr">
        <is>
          <t>Test Engineering Co-Op (Summer/Fall 2027, May-Dec 2027)</t>
        </is>
      </c>
      <c r="D24" t="inlineStr">
        <is>
          <t>Verona, WI</t>
        </is>
      </c>
      <c r="E24" t="inlineStr">
        <is>
          <t>https://www.xes-inc.com/about/careers/student-co-op-opportunities/test-engineering-co-op/</t>
        </is>
      </c>
      <c r="F24" t="inlineStr">
        <is>
          <t>SUBMITTED</t>
        </is>
      </c>
      <c r="G24" t="inlineStr">
        <is>
          <t>asResumeFa26_i.pdf</t>
        </is>
      </c>
      <c r="H24" t="inlineStr">
        <is>
          <t>"You applied for Test Engineering Co-Op. Thank you! Your application was submitted." Application ID df307081-9a8d-415c-bb1f-858535c56ce7</t>
        </is>
      </c>
      <c r="I24" t="inlineStr">
        <is>
          <t>UKG/UltiPro candidate account created (musebabashebani@gmail.com). Term Summer/Fall 2027, start 05/14/2027. Transcript not required.</t>
        </is>
      </c>
    </row>
    <row r="25">
      <c r="A25" t="inlineStr">
        <is>
          <t>2026-10-21</t>
        </is>
      </c>
      <c r="B25" t="inlineStr">
        <is>
          <t>Johnson Health Tech</t>
        </is>
      </c>
      <c r="C25" t="inlineStr">
        <is>
          <t>Embedded Software Engineer-Innovation Team (new-grad, full-time)</t>
        </is>
      </c>
      <c r="D25" t="inlineStr">
        <is>
          <t>Cottage Grove, WI</t>
        </is>
      </c>
      <c r="E25" t="inlineStr">
        <is>
          <t>https://recruiting.paylocity.com/Recruiting/Jobs/Details/4176830</t>
        </is>
      </c>
      <c r="F25" t="inlineStr">
        <is>
          <t>SUBMITTED</t>
        </is>
      </c>
      <c r="G25" t="inlineStr">
        <is>
          <t>asResumeFa26_n.pdf</t>
        </is>
      </c>
      <c r="H25" t="inlineStr">
        <is>
          <t>"Your application has been received! Thank you for applying." (Paylocity, no confirmation number)</t>
        </is>
      </c>
      <c r="I25" t="inlineStr">
        <is>
          <t>Salary 58000 yearly. SMS consent Yes. No account required. Transcript not required. Cover letter skipped (optional).</t>
        </is>
      </c>
    </row>
    <row r="26">
      <c r="A26" s="43" t="inlineStr">
        <is>
          <t>2026-10-21</t>
        </is>
      </c>
      <c r="B26" s="43" t="inlineStr">
        <is>
          <t>Dell Technologies</t>
        </is>
      </c>
      <c r="C26" s="43" t="inlineStr">
        <is>
          <t>Hardware Engineer 1 Intern (job 298141)</t>
        </is>
      </c>
      <c r="D26" s="43" t="inlineStr">
        <is>
          <t>Austin, TX</t>
        </is>
      </c>
      <c r="E26" s="43" t="inlineStr">
        <is>
          <t>https://iawmqy.fa.ocs.oraclecloud.com/hcmUI/CandidateExperience/en/sites/careers/job/298141</t>
        </is>
      </c>
      <c r="F26" s="43" t="inlineStr">
        <is>
          <t>SUBMITTED</t>
        </is>
      </c>
      <c r="G26" s="43" t="inlineStr">
        <is>
          <t>asResumeFa26_i.pdf</t>
        </is>
      </c>
      <c r="H26" s="43" t="inlineStr">
        <is>
          <t>Confirmation: "Thank you for your job application." Status: Under Consideration, Applied on 10/21/2026 (Oracle job 298141)</t>
        </is>
      </c>
      <c r="I26" s="43" t="inlineStr">
        <is>
          <t>Identity-verification email code (10-min validity) expired twice while the user-approval card sat unapproved — no user present on detached run. Email entered, terms accepted; form not reached. RETRY when Adam can approve the code card.</t>
        </is>
      </c>
    </row>
    <row r="27">
      <c r="A27" s="43" t="inlineStr">
        <is>
          <t>2026-10-21</t>
        </is>
      </c>
      <c r="B27" s="43" t="inlineStr">
        <is>
          <t>Boston Scientific</t>
        </is>
      </c>
      <c r="C27" s="43" t="inlineStr">
        <is>
          <t>R&amp;D Electrical Hardware Engineer Intern (req 634771)</t>
        </is>
      </c>
      <c r="D27" s="43" t="inlineStr">
        <is>
          <t>Arden Hills, MN</t>
        </is>
      </c>
      <c r="E27" s="43" t="inlineStr">
        <is>
          <t>https://bostonscientific.eightfold.ai/careers/apply?pid=563602813563527</t>
        </is>
      </c>
      <c r="F27" s="43" t="inlineStr">
        <is>
          <t>SUBMITTED</t>
        </is>
      </c>
      <c r="G27" s="43" t="inlineStr">
        <is>
          <t>asResumeFa26_i.pdf</t>
        </is>
      </c>
      <c r="H27" s="43" t="inlineStr">
        <is>
          <t>Confirmation: "Thank you for your application, Adam!" (Eightfold req 634771; confirmation email 10:31 AM CT)</t>
        </is>
      </c>
      <c r="I27" s="43" t="inlineStr">
        <is>
          <t>2 novel questions escalated to Adam: (1) reliable transportation to Arden Hills office? (2) willing/able to meet safety-sensitive drug-test requirement? Resolved: hands-on electronics Yes, OIG exclusion No, ZIP 53716. No account required; no transcript field.</t>
        </is>
      </c>
    </row>
    <row r="28">
      <c r="A28" s="43" t="inlineStr">
        <is>
          <t>2026-10-21</t>
        </is>
      </c>
      <c r="B28" s="43" t="inlineStr">
        <is>
          <t>Leidos</t>
        </is>
      </c>
      <c r="C28" s="43" t="inlineStr">
        <is>
          <t>Electrical Hardware Design Engineer Intern (R-00193394)</t>
        </is>
      </c>
      <c r="D28" s="43" t="inlineStr">
        <is>
          <t>Huntsville, AL</t>
        </is>
      </c>
      <c r="E28" s="43" t="inlineStr">
        <is>
          <t>https://leidos.wd5.myworkdayjobs.com/External/job/Huntsville-AL/Electrical-Hardware-Design-Engineering-Intern_R-00193394</t>
        </is>
      </c>
      <c r="F28" s="43" t="inlineStr">
        <is>
          <t>SUBMITTED</t>
        </is>
      </c>
      <c r="G28" s="43" t="inlineStr">
        <is>
          <t>asResumeFa26_i.pdf</t>
        </is>
      </c>
      <c r="H28" s="43" t="inlineStr">
        <is>
          <t>Confirmation: "Application Submitted — Your application has been received." My Applications: Submitted, October 21, 2026 (Workday R-00193394; transcript also uploaded)</t>
        </is>
      </c>
      <c r="I28" s="43" t="inlineStr">
        <is>
          <t>2 novel questions escalated to Adam: Job Title at Badger Moving; Start date (MM/YYYY) at Badger Moving. Workday account created (musebabashebani@gmail.com); application saved in-progress.</t>
        </is>
      </c>
    </row>
    <row r="29">
      <c r="A29" s="43" t="inlineStr">
        <is>
          <t>2026-10-21</t>
        </is>
      </c>
      <c r="B29" s="43" t="inlineStr">
        <is>
          <t>Garmin</t>
        </is>
      </c>
      <c r="C29" s="43" t="inlineStr">
        <is>
          <t>FPGA Engineer Intern (Req 19836)</t>
        </is>
      </c>
      <c r="D29" s="43" t="inlineStr">
        <is>
          <t>Olathe, KS</t>
        </is>
      </c>
      <c r="E29" s="43" t="inlineStr">
        <is>
          <t>https://careers.garmin.com/jobs/19836?icims=1</t>
        </is>
      </c>
      <c r="F29" s="43" t="inlineStr">
        <is>
          <t>SUBMITTED</t>
        </is>
      </c>
      <c r="G29" s="43" t="inlineStr">
        <is>
          <t>asResumeFa26_i.pdf</t>
        </is>
      </c>
      <c r="H29" s="43" t="inlineStr">
        <is>
          <t>Confirmation: "Your application was submitted successfully. Thank you for applying." / "You are currently submitted to this job." (iCIMS Req 19836)</t>
        </is>
      </c>
      <c r="I29" s="43" t="inlineStr">
        <is>
          <t>iCIMS Step 1 blocked on Professional Experience block: City, Title, Start Date, Reason for Leaving, Country, State for Badger Moving (DB has employer + end 10/2025 only). ZIP resolved 53716. Burner email verified; resume attached; no login created yet.</t>
        </is>
      </c>
    </row>
    <row r="30">
      <c r="A30" t="inlineStr">
        <is>
          <t>2026-10-21</t>
        </is>
      </c>
      <c r="B30" t="inlineStr">
        <is>
          <t>Extreme Engineering Solutions (X-ES)</t>
        </is>
      </c>
      <c r="C30" t="inlineStr">
        <is>
          <t>Embedded Hardware Engineering Co-Op (req ASSOC001741, Summer/Fall 2027)</t>
        </is>
      </c>
      <c r="D30" t="inlineStr">
        <is>
          <t>Verona, WI</t>
        </is>
      </c>
      <c r="E30" t="inlineStr">
        <is>
          <t>https://www.xes-inc.com/about/careers/student-co-op-opportunities/embedded-hardware-engineering-co-op/</t>
        </is>
      </c>
      <c r="F30" t="inlineStr">
        <is>
          <t>PENDING</t>
        </is>
      </c>
      <c r="G30" t="inlineStr">
        <is>
          <t>asResumeFa26_i.pdf</t>
        </is>
      </c>
      <c r="I30" t="inlineStr">
        <is>
          <t>X-ES requires a Candidate Questionnaire PDF with the application; its questions (relevant coursework, 0-5 skill ratings, 0-2 team interest ratings) escalated to Adam. No account created, nothing submitted.</t>
        </is>
      </c>
    </row>
    <row r="31">
      <c r="A31" t="inlineStr">
        <is>
          <t>2026-10-21</t>
        </is>
      </c>
      <c r="B31" t="inlineStr">
        <is>
          <t>Extreme Engineering Solutions (X-ES)</t>
        </is>
      </c>
      <c r="C31" t="inlineStr">
        <is>
          <t>Embedded Software Engineering Co-Op (req ASSOC001742, Summer/Fall 2027)</t>
        </is>
      </c>
      <c r="D31" t="inlineStr">
        <is>
          <t>Verona, WI</t>
        </is>
      </c>
      <c r="E31" t="inlineStr">
        <is>
          <t>https://www.xes-inc.com/about/careers/student-co-op-opportunities/embedded-software-engineering-co-op/</t>
        </is>
      </c>
      <c r="F31" t="inlineStr">
        <is>
          <t>BLOCKED</t>
        </is>
      </c>
      <c r="G31" t="inlineStr">
        <is>
          <t>asResumeFa26_i.pdf</t>
        </is>
      </c>
      <c r="I31" t="inlineStr">
        <is>
          <t>UKG/UltiPro portal requires sign-in; account musebabashebani@gmail.com exists (created by earlier X-ES application) but no saved login in this window and password is never stored; password reset not authorized on detached run. Likely also needs candidate questionnaire.</t>
        </is>
      </c>
    </row>
    <row r="32">
      <c r="A32" t="inlineStr">
        <is>
          <t>2026-10-21</t>
        </is>
      </c>
      <c r="B32" t="inlineStr">
        <is>
          <t>Nokia</t>
        </is>
      </c>
      <c r="C32" t="inlineStr">
        <is>
          <t>Hardware Development Co-Op (Job 40268)</t>
        </is>
      </c>
      <c r="D32" t="inlineStr">
        <is>
          <t>Murray Hill, NJ (live posting, not Remote US)</t>
        </is>
      </c>
      <c r="E32" t="inlineStr">
        <is>
          <t>https://fa-evmr-saasfaprod1.fa.ocs.oraclecloud.com/hcmUI/CandidateExperience/en/sites/CX_1/job/40268</t>
        </is>
      </c>
      <c r="F32" t="inlineStr">
        <is>
          <t>SKIPPED</t>
        </is>
      </c>
      <c r="I32" t="inlineStr">
        <is>
          <t>Co-op term Jan–Aug 2027 starts before approved earliest start 05/14/2027 (approved terms Summer/Fall only). Novel questions escalated: part-time work, flexible schedule, how-heard fixed options.</t>
        </is>
      </c>
    </row>
    <row r="33">
      <c r="A33" t="inlineStr">
        <is>
          <t>2026-10-21</t>
        </is>
      </c>
      <c r="B33" t="inlineStr">
        <is>
          <t>Sub-Zero Group</t>
        </is>
      </c>
      <c r="C33" t="inlineStr">
        <is>
          <t>2027 Engineering Co-op (req 2026E007282)</t>
        </is>
      </c>
      <c r="D33" t="inlineStr">
        <is>
          <t>Madison, WI</t>
        </is>
      </c>
      <c r="E33" t="inlineStr">
        <is>
          <t>https://recruiting2.ultipro.com/SUB1000SUBZ/JobBoard/ffaa667e-61b4-4b38-b427-2cb6982a41a3/OpportunityDetail?opportunityId=7c3b1a75-6342-4c54-b0b9-dad278ec2df9</t>
        </is>
      </c>
      <c r="F33" t="inlineStr">
        <is>
          <t>SKIPPED</t>
        </is>
      </c>
      <c r="I33" t="inlineStr">
        <is>
          <t>Posting fixes co-op to Spring term Jan–Aug 2027, before approved earliest start 05/14/2027. No Summer/Fall term offered.</t>
        </is>
      </c>
    </row>
    <row r="34">
      <c r="A34" t="inlineStr">
        <is>
          <t>2026-10-21</t>
        </is>
      </c>
      <c r="B34" t="inlineStr">
        <is>
          <t>Microsoft</t>
        </is>
      </c>
      <c r="C34" t="inlineStr">
        <is>
          <t>Hardware Engineering Internship (6-Month Program, job 200057051)</t>
        </is>
      </c>
      <c r="D34" t="inlineStr">
        <is>
          <t>Redmond, WA</t>
        </is>
      </c>
      <c r="E34" t="inlineStr">
        <is>
          <t>https://apply.careers.microsoft.com/careers/job/1970393557002608</t>
        </is>
      </c>
      <c r="F34" t="inlineStr">
        <is>
          <t>DEAD</t>
        </is>
      </c>
      <c r="I34" t="inlineStr">
        <is>
          <t>Page shows "No longer accepting applications" banner; no Apply button. Role closed.</t>
        </is>
      </c>
    </row>
    <row r="35">
      <c r="A35" t="inlineStr">
        <is>
          <t>2026-10-21</t>
        </is>
      </c>
      <c r="B35" t="inlineStr">
        <is>
          <t>Rockwell Automation</t>
        </is>
      </c>
      <c r="C35" t="inlineStr">
        <is>
          <t>Intern - Embedded Controls Engineering (R26-5043-2)</t>
        </is>
      </c>
      <c r="D35" t="inlineStr">
        <is>
          <t>Orlando, FL</t>
        </is>
      </c>
      <c r="E35" t="inlineStr">
        <is>
          <t>https://rockwellautomation.wd1.myworkdayjobs.com/external_rockwell_automation/job/Orlando-Florida-United-States/Intern---Embedded-Controls-Engineering_R26-5043-2</t>
        </is>
      </c>
      <c r="F35" t="inlineStr">
        <is>
          <t>DEAD</t>
        </is>
      </c>
      <c r="I35" t="inlineStr">
        <is>
          <t>Workday returns "page doesn't exist"; title/req searches found no equivalent posting. Role closed/filled.</t>
        </is>
      </c>
    </row>
    <row r="36">
      <c r="A36" t="inlineStr">
        <is>
          <t>2026-10-21</t>
        </is>
      </c>
      <c r="B36" t="inlineStr">
        <is>
          <t>Amazon.com Services LLC</t>
        </is>
      </c>
      <c r="C36" t="inlineStr">
        <is>
          <t>Hardware Development Engineer Intern (Winter 2027, job 10584121)</t>
        </is>
      </c>
      <c r="D36" t="inlineStr">
        <is>
          <t>Remote (US)</t>
        </is>
      </c>
      <c r="E36" t="inlineStr">
        <is>
          <t>https://www.amazon.jobs/en/jobs/10584121/hardware-development-engineer-intern-winter-2027</t>
        </is>
      </c>
      <c r="F36" t="inlineStr">
        <is>
          <t>SKIPPED</t>
        </is>
      </c>
      <c r="I36" t="inlineStr">
        <is>
          <t>Posting is Winter 2027 term; approved terms are Summer/Fall only (earliest start 05/14/2027).</t>
        </is>
      </c>
    </row>
    <row r="37">
      <c r="A37" t="inlineStr">
        <is>
          <t>2026-10-21</t>
        </is>
      </c>
      <c r="B37" t="inlineStr">
        <is>
          <t>Meta</t>
        </is>
      </c>
      <c r="C37" t="inlineStr">
        <is>
          <t>ASIC Engineer Intern - Design Verification - Silicon Engineering</t>
        </is>
      </c>
      <c r="D37" t="inlineStr">
        <is>
          <t>Sunnyvale, CA</t>
        </is>
      </c>
      <c r="E37" t="inlineStr">
        <is>
          <t>https://www.metacareers.com/jobs/1079763448023260</t>
        </is>
      </c>
      <c r="F37" t="inlineStr">
        <is>
          <t>SKIPPED</t>
        </is>
      </c>
      <c r="I37" t="inlineStr">
        <is>
          <t>Duplicate — already submitted 2026-10-19 (same job ID). Not re-applied.</t>
        </is>
      </c>
    </row>
    <row r="38">
      <c r="A38" t="inlineStr">
        <is>
          <t>2026-10-21</t>
        </is>
      </c>
      <c r="B38" t="inlineStr">
        <is>
          <t>Sound Devices</t>
        </is>
      </c>
      <c r="C38" t="inlineStr">
        <is>
          <t>Embedded Software Engineer (new-grad)</t>
        </is>
      </c>
      <c r="D38" t="inlineStr">
        <is>
          <t>Madison, WI</t>
        </is>
      </c>
      <c r="E38" t="inlineStr">
        <is>
          <t>https://www.sounddevices.com/embedded-software-engineer-madison-wi/</t>
        </is>
      </c>
      <c r="F38" t="inlineStr">
        <is>
          <t>NO_OPENING</t>
        </is>
      </c>
      <c r="I38" t="inlineStr">
        <is>
          <t>Posting is contact-email only (careers@sounddevices.com) — no application form. Per loop rule, never email.</t>
        </is>
      </c>
    </row>
    <row r="39">
      <c r="A39" t="inlineStr">
        <is>
          <t>2026-10-21</t>
        </is>
      </c>
      <c r="B39" t="inlineStr">
        <is>
          <t>SixLine Semiconductor</t>
        </is>
      </c>
      <c r="C39" t="inlineStr">
        <is>
          <t>(no postings — contact form only)</t>
        </is>
      </c>
      <c r="D39" t="inlineStr">
        <is>
          <t>Middleton, WI</t>
        </is>
      </c>
      <c r="E39" t="inlineStr">
        <is>
          <t>https://www.sixlinesemi.com/contact</t>
        </is>
      </c>
      <c r="F39" t="inlineStr">
        <is>
          <t>NO_OPENING</t>
        </is>
      </c>
      <c r="I39" t="inlineStr">
        <is>
          <t>Careers page is a contact form only; Adam already submitted their Google form 7/31/26.</t>
        </is>
      </c>
    </row>
    <row r="40">
      <c r="A40" t="inlineStr">
        <is>
          <t>2026-10-21</t>
        </is>
      </c>
      <c r="B40" t="inlineStr">
        <is>
          <t>Extreme Engineering Solutions (X-ES)</t>
        </is>
      </c>
      <c r="C40" t="inlineStr">
        <is>
          <t>Hardware Test Engineer (new-grad)</t>
        </is>
      </c>
      <c r="D40" t="inlineStr">
        <is>
          <t>Verona, WI</t>
        </is>
      </c>
      <c r="E40" t="inlineStr">
        <is>
          <t>https://www.xes-inc.com/about/careers/full-time-employment-opportunities/hardware-test-engineer/</t>
        </is>
      </c>
      <c r="F40" t="inlineStr">
        <is>
          <t>SKIPPED</t>
        </is>
      </c>
      <c r="I40" t="inlineStr">
        <is>
          <t>Posting explicitly open to December 2026 graduates; Adam graduates Dec 2027.</t>
        </is>
      </c>
    </row>
    <row r="41">
      <c r="A41" t="inlineStr">
        <is>
          <t>2026-10-22</t>
        </is>
      </c>
      <c r="B41" t="inlineStr">
        <is>
          <t>Skydio</t>
        </is>
      </c>
      <c r="C41" t="inlineStr">
        <is>
          <t>Hardware Test and Reliability Intern (Summer 2027)</t>
        </is>
      </c>
      <c r="D41" t="inlineStr">
        <is>
          <t>San Mateo, CA</t>
        </is>
      </c>
      <c r="E41" t="inlineStr">
        <is>
          <t>https://jobs.ashbyhq.com/skydio/36d75e36-eeb2-4399-8887-37c4a5ff5800/application?embed=true</t>
        </is>
      </c>
      <c r="F41" t="inlineStr">
        <is>
          <t>SUBMITTED</t>
        </is>
      </c>
      <c r="G41" t="inlineStr">
        <is>
          <t>asResumeFa26_i.pdf</t>
        </is>
      </c>
      <c r="H41" t="inlineStr">
        <is>
          <t>Success banner, fields disabled (Ashby, no conf number)</t>
        </is>
      </c>
      <c r="I41" t="inlineStr">
        <is>
          <t>Cover letter generated but no upload slot on form (resume-only); no essay field</t>
        </is>
      </c>
    </row>
    <row r="42">
      <c r="A42" t="inlineStr">
        <is>
          <t>2026-10-22</t>
        </is>
      </c>
      <c r="B42" t="inlineStr">
        <is>
          <t>Astera Labs</t>
        </is>
      </c>
      <c r="C42" t="inlineStr">
        <is>
          <t>Applied AI Engineer Intern, Silicon Engineering (Summer 2027)</t>
        </is>
      </c>
      <c r="D42" t="inlineStr">
        <is>
          <t>San Jose, CA</t>
        </is>
      </c>
      <c r="E42" t="inlineStr">
        <is>
          <t>https://job-boards.greenhouse.io/asteraearlycareer2027/jobs/4727602005</t>
        </is>
      </c>
      <c r="F42" t="inlineStr">
        <is>
          <t>SUBMITTED</t>
        </is>
      </c>
      <c r="G42" t="inlineStr">
        <is>
          <t>asResumeFa26_i.pdf</t>
        </is>
      </c>
      <c r="H42" t="inlineStr">
        <is>
          <t>Greenhouse confirmation page</t>
        </is>
      </c>
      <c r="I42" t="inlineStr">
        <is>
          <t>Cover letter generated but no upload slot on form; not attached</t>
        </is>
      </c>
    </row>
    <row r="43">
      <c r="A43" t="inlineStr">
        <is>
          <t>2026-10-22</t>
        </is>
      </c>
      <c r="B43" t="inlineStr">
        <is>
          <t>Astera Labs</t>
        </is>
      </c>
      <c r="C43" t="inlineStr">
        <is>
          <t>Hardware Electrical Validation Intern (Summer 2027)</t>
        </is>
      </c>
      <c r="D43" t="inlineStr">
        <is>
          <t>San Jose, CA</t>
        </is>
      </c>
      <c r="E43" t="inlineStr">
        <is>
          <t>https://job-boards.greenhouse.io/asteraearlycareer2027/jobs/4740145005</t>
        </is>
      </c>
      <c r="F43" t="inlineStr">
        <is>
          <t>SUBMITTED</t>
        </is>
      </c>
      <c r="G43" t="inlineStr">
        <is>
          <t>asResumeFa26_i.pdf</t>
        </is>
      </c>
      <c r="H43" t="inlineStr">
        <is>
          <t>Greenhouse confirmation page</t>
        </is>
      </c>
      <c r="I43" t="inlineStr">
        <is>
          <t>Cover letter generated but no upload slot on form; not attached; submitted per Adam approval</t>
        </is>
      </c>
    </row>
    <row r="44">
      <c r="A44" t="inlineStr">
        <is>
          <t>2026-10-22</t>
        </is>
      </c>
      <c r="B44" t="inlineStr">
        <is>
          <t>Milwaukee Tool</t>
        </is>
      </c>
      <c r="C44" t="inlineStr">
        <is>
          <t>Summer 2027: Electrical Engineering Intern</t>
        </is>
      </c>
      <c r="D44" t="inlineStr">
        <is>
          <t>Brookfield, WI</t>
        </is>
      </c>
      <c r="E44" t="inlineStr">
        <is>
          <t>https://tti.yello.co/external/requisitions/733mBTvtKX6qFiw_tC4GGA/apply</t>
        </is>
      </c>
      <c r="F44" t="inlineStr">
        <is>
          <t>SUBMITTED</t>
        </is>
      </c>
      <c r="G44" t="inlineStr">
        <is>
          <t>asResumeFa26_i.pdf</t>
        </is>
      </c>
      <c r="H44" t="inlineStr">
        <is>
          <t>Yello confirmation page</t>
        </is>
      </c>
      <c r="I44" t="inlineStr">
        <is>
          <t>Cover letter uploaded to Supporting Document slot; Major=Computer Engineering (DB variant), Area=Engineering- Electrical</t>
        </is>
      </c>
    </row>
    <row r="45">
      <c r="A45" t="inlineStr">
        <is>
          <t>2026-10-22</t>
        </is>
      </c>
      <c r="B45" t="inlineStr">
        <is>
          <t>Milwaukee Tool</t>
        </is>
      </c>
      <c r="C45" t="inlineStr">
        <is>
          <t>Engineering Development Program - Electrical Engineer (2027)</t>
        </is>
      </c>
      <c r="D45" t="inlineStr">
        <is>
          <t>Brookfield, WI</t>
        </is>
      </c>
      <c r="E45" t="inlineStr">
        <is>
          <t>https://tti.yello.co/external/requisitions/kGiCNEBYAr63q1DllQY_fA/apply</t>
        </is>
      </c>
      <c r="F45" t="inlineStr">
        <is>
          <t>SUBMITTED</t>
        </is>
      </c>
      <c r="G45" t="inlineStr">
        <is>
          <t>asResumeFa26_n.pdf</t>
        </is>
      </c>
      <c r="H45" t="inlineStr">
        <is>
          <t>Yello confirmation page</t>
        </is>
      </c>
      <c r="I45" t="inlineStr">
        <is>
          <t>New-grad role; cover letter to Supporting Document slot; Graduation May 2027; Major=Computer Engineering; Area=Engineering- Electrical</t>
        </is>
      </c>
    </row>
    <row r="46">
      <c r="A46" s="44" t="inlineStr">
        <is>
          <t>2026-10-22</t>
        </is>
      </c>
      <c r="B46" s="44" t="inlineStr">
        <is>
          <t>Milwaukee Tool</t>
        </is>
      </c>
      <c r="C46" s="44" t="inlineStr">
        <is>
          <t>Summer 2027: Machine Learning Engineering Intern</t>
        </is>
      </c>
      <c r="D46" s="44" t="inlineStr">
        <is>
          <t>Brookfield, WI</t>
        </is>
      </c>
      <c r="E46" s="44" t="inlineStr">
        <is>
          <t>https://tti.yello.co/external/requisitions/_RPVP9oCAwh78R9TcYTm1A</t>
        </is>
      </c>
      <c r="F46" s="45" t="inlineStr">
        <is>
          <t>SUBMITTED</t>
        </is>
      </c>
      <c r="G46" s="44" t="inlineStr">
        <is>
          <t>asResumeFa26SW_i.pdf</t>
        </is>
      </c>
      <c r="H46" s="44" t="inlineStr">
        <is>
          <t>Yello confirmation page</t>
        </is>
      </c>
      <c r="I46" s="44" t="inlineStr">
        <is>
          <t>Cover letter MilwaukeeTool-ML-Intern.pdf in Supporting Document slot; Area=Engineering- Machine Learning; Graduation December 2027; verified not-submitted before applying (no duplicate)</t>
        </is>
      </c>
    </row>
    <row r="47">
      <c r="A47" s="44" t="inlineStr">
        <is>
          <t>2026-10-22</t>
        </is>
      </c>
      <c r="B47" s="44" t="inlineStr">
        <is>
          <t>Milwaukee Tool</t>
        </is>
      </c>
      <c r="C47" s="44" t="inlineStr">
        <is>
          <t>Summer 2027: Firmware Engineering Intern</t>
        </is>
      </c>
      <c r="D47" s="44" t="inlineStr">
        <is>
          <t>Brookfield, WI</t>
        </is>
      </c>
      <c r="E47" s="44" t="inlineStr">
        <is>
          <t>https://tti.yello.co/external/requisitions/0csSNpuso1PEE8ka6XC1aQ</t>
        </is>
      </c>
      <c r="F47" s="45" t="inlineStr">
        <is>
          <t>SUBMITTED</t>
        </is>
      </c>
      <c r="G47" s="44" t="inlineStr">
        <is>
          <t>asResumeFa26_i.pdf</t>
        </is>
      </c>
      <c r="H47" s="44" t="inlineStr">
        <is>
          <t>Yello confirmation page</t>
        </is>
      </c>
      <c r="I47" s="44" t="inlineStr">
        <is>
          <t>Cover letter MilwaukeeTool-Firmware-Intern.pdf in Supporting Document slot; Area=Engineering- Firmware; Graduation December 2027; verified not-submitted before applying (no duplicate)</t>
        </is>
      </c>
    </row>
    <row r="48">
      <c r="A48" s="44" t="inlineStr">
        <is>
          <t>2026-10-22</t>
        </is>
      </c>
      <c r="B48" s="44" t="inlineStr">
        <is>
          <t>Milwaukee Tool</t>
        </is>
      </c>
      <c r="C48" s="44" t="inlineStr">
        <is>
          <t>Summer 2027: Firmware Engineering Intern, DevOps</t>
        </is>
      </c>
      <c r="D48" s="44" t="inlineStr">
        <is>
          <t>Brookfield, WI</t>
        </is>
      </c>
      <c r="E48" s="44" t="inlineStr">
        <is>
          <t>https://tti.yello.co/external/requisitions/q1Q4vmKvXa6UsGgacaLtWg</t>
        </is>
      </c>
      <c r="F48" s="45" t="inlineStr">
        <is>
          <t>SUBMITTED</t>
        </is>
      </c>
      <c r="G48" s="44" t="inlineStr">
        <is>
          <t>asResumeFa26_i.pdf</t>
        </is>
      </c>
      <c r="H48" s="44" t="inlineStr">
        <is>
          <t>Yello confirmation page</t>
        </is>
      </c>
      <c r="I48" s="44" t="inlineStr">
        <is>
          <t>Cover letter MilwaukeeTool-Firmware-DevOps-Intern.pdf in Supporting Document slot; Area=Engineering- Electrical; Graduation December 2027; verified not-submitted before applying (no duplicate)</t>
        </is>
      </c>
    </row>
    <row r="49">
      <c r="A49" s="44" t="inlineStr">
        <is>
          <t>2026-10-22</t>
        </is>
      </c>
      <c r="B49" s="44" t="inlineStr">
        <is>
          <t>HPE</t>
        </is>
      </c>
      <c r="C49" s="44" t="inlineStr">
        <is>
          <t>ASIC Design Engineer Intern (1214180)</t>
        </is>
      </c>
      <c r="D49" s="44" t="inlineStr">
        <is>
          <t>Sunnyvale, CA</t>
        </is>
      </c>
      <c r="E49" s="44" t="inlineStr">
        <is>
          <t>https://hpe.wd5.myworkdayjobs.com/jobsathpe/job/Sunnyvale-California-United-States-of-America/ASIC-Design-Engineer-Intern_1214180</t>
        </is>
      </c>
      <c r="F49" s="45" t="inlineStr">
        <is>
          <t>SUBMITTED</t>
        </is>
      </c>
      <c r="G49" s="44" t="inlineStr">
        <is>
          <t>asResumeFa26_i.pdf</t>
        </is>
      </c>
      <c r="H49" s="44" t="inlineStr">
        <is>
          <t>Workday: "Application Submitted" — My Applications shows In Progress, submitted Oct 22 2026</t>
        </is>
      </c>
      <c r="I49" s="44" t="inlineStr">
        <is>
          <t>Req 1214180; check-first found NO prior application/draft ("You have no applications"), fresh submit; all compliance answers from DB; no cover-letter slot on form; no transcript field</t>
        </is>
      </c>
    </row>
    <row r="50">
      <c r="A50" s="44" t="inlineStr">
        <is>
          <t>2026-10-22</t>
        </is>
      </c>
      <c r="B50" s="44" t="inlineStr">
        <is>
          <t>Marvell</t>
        </is>
      </c>
      <c r="C50" s="44" t="inlineStr">
        <is>
          <t>Silicon Validation Intern, BS - Summer 2027 (2603850)</t>
        </is>
      </c>
      <c r="D50" s="44" t="inlineStr">
        <is>
          <t>Santa Clara, CA</t>
        </is>
      </c>
      <c r="E50" s="44" t="inlineStr">
        <is>
          <t>https://marvell.wd1.myworkdayjobs.com/MarvellCareers/job/Santa-Clara/Silicon-Validation-Intern--BS---Summer-2027_2603850</t>
        </is>
      </c>
      <c r="F50" s="45" t="inlineStr">
        <is>
          <t>SUBMITTED</t>
        </is>
      </c>
      <c r="G50" s="44" t="inlineStr">
        <is>
          <t>asResumeFa26_i.pdf</t>
        </is>
      </c>
      <c r="H50" s="44" t="inlineStr">
        <is>
          <t>Workday: "Application Submitted" — My Applications shows Application In Process, submitted Oct 22 2026</t>
        </is>
      </c>
      <c r="I50" s="44" t="inlineStr">
        <is>
          <t>Req 2603850; check-first found NO prior application/draft ("You have no applications"), fresh submit; all questions answered from DB; no cover-letter slot, no transcript required</t>
        </is>
      </c>
    </row>
    <row r="51">
      <c r="A51" t="inlineStr">
        <is>
          <t>2026-10-23</t>
        </is>
      </c>
      <c r="B51" t="inlineStr">
        <is>
          <t>Meta</t>
        </is>
      </c>
      <c r="C51" t="inlineStr">
        <is>
          <t>ASIC Engineer, Performance Architecture and Modeling (University Grad)</t>
        </is>
      </c>
      <c r="D51" t="inlineStr">
        <is>
          <t>Austin, TX / Sunnyvale, CA</t>
        </is>
      </c>
      <c r="E51" t="inlineStr">
        <is>
          <t>https://www.metacareers.com/jobs/4596319193960098</t>
        </is>
      </c>
      <c r="F51" t="inlineStr">
        <is>
          <t>SUBMITTED</t>
        </is>
      </c>
      <c r="G51" t="inlineStr">
        <is>
          <t>asResumeFa26_n.pdf</t>
        </is>
      </c>
      <c r="H51" t="inlineStr">
        <is>
          <t>Thanks for applying, Adam Shebani. Your application for the ASIC Engineer, Performance Architecture and Modeling (University Grad) role has been received. You will get a confirmation email. / App ID AbyAXwLVu2Erd6F-YicfVYmXJuBzI96FQAusQfdtUwKiXjqWA9ngWhU7Rb6jBx_oPkIebMSgJWdO0sgmuzQehIsbl2g4x9P3j5vFhRWbjZPAB3BNa1EZYTwIuC7y8yMZXUuZgi3p0tmz1Olj-XzsvonD5doqPrWkzHBbr1o</t>
        </is>
      </c>
      <c r="I51" t="inlineStr">
        <is>
          <t>Guest apply; no cover-letter slot; no novel questions</t>
        </is>
      </c>
    </row>
    <row r="52">
      <c r="A52" t="inlineStr">
        <is>
          <t>2026-10-23</t>
        </is>
      </c>
      <c r="B52" t="inlineStr">
        <is>
          <t>Johnson Controls</t>
        </is>
      </c>
      <c r="C52" t="inlineStr">
        <is>
          <t>NextGen Hardware Engineer - HVACR (WD30279365)</t>
        </is>
      </c>
      <c r="D52" t="inlineStr">
        <is>
          <t>New Freedom, PA</t>
        </is>
      </c>
      <c r="E52" t="inlineStr">
        <is>
          <t>https://jobs.johnsoncontrols.com/job/WD30279365</t>
        </is>
      </c>
      <c r="F52" t="inlineStr">
        <is>
          <t>BLOCKED</t>
        </is>
      </c>
      <c r="I52" t="inlineStr">
        <is>
          <t>Eightfold resume-upload dropzone not attachable by browser tool; letter ready; finish in own browser</t>
        </is>
      </c>
    </row>
    <row r="53">
      <c r="A53" t="inlineStr">
        <is>
          <t>2026-10-23</t>
        </is>
      </c>
      <c r="B53" t="inlineStr">
        <is>
          <t>Johnson Controls</t>
        </is>
      </c>
      <c r="C53" t="inlineStr">
        <is>
          <t>NextGen Hardware Engineer - Fire Suppression (WD30279367)</t>
        </is>
      </c>
      <c r="D53" t="inlineStr">
        <is>
          <t>Cranston, RI</t>
        </is>
      </c>
      <c r="E53" t="inlineStr">
        <is>
          <t>https://jobs.johnsoncontrols.com/job/WD30279367</t>
        </is>
      </c>
      <c r="F53" t="inlineStr">
        <is>
          <t>BLOCKED</t>
        </is>
      </c>
      <c r="I53" t="inlineStr">
        <is>
          <t>Same upload wall; letter ready</t>
        </is>
      </c>
    </row>
    <row r="54">
      <c r="A54" t="inlineStr">
        <is>
          <t>2026-10-23</t>
        </is>
      </c>
      <c r="B54" t="inlineStr">
        <is>
          <t>Johnson Controls</t>
        </is>
      </c>
      <c r="C54" t="inlineStr">
        <is>
          <t>NextGen Hardware Engineer - Fire Detection (WD30279366)</t>
        </is>
      </c>
      <c r="D54" t="inlineStr">
        <is>
          <t>Westford, MA</t>
        </is>
      </c>
      <c r="E54" t="inlineStr">
        <is>
          <t>https://jobs.johnsoncontrols.com/job/WD30279366</t>
        </is>
      </c>
      <c r="F54" t="inlineStr">
        <is>
          <t>DEAD</t>
        </is>
      </c>
      <c r="I54" t="inlineStr">
        <is>
          <t>404 — posting closed</t>
        </is>
      </c>
    </row>
    <row r="55">
      <c r="A55" t="inlineStr">
        <is>
          <t>2026-10-23</t>
        </is>
      </c>
      <c r="B55" t="inlineStr">
        <is>
          <t>Johnson Controls</t>
        </is>
      </c>
      <c r="C55" t="inlineStr">
        <is>
          <t>Power Electronics Intern (Summer 2027, WD30279829)</t>
        </is>
      </c>
      <c r="D55" t="inlineStr">
        <is>
          <t>New Freedom, PA</t>
        </is>
      </c>
      <c r="E55" t="inlineStr">
        <is>
          <t>https://jobs.johnsoncontrols.com/job/WD30279829</t>
        </is>
      </c>
      <c r="F55" t="inlineStr">
        <is>
          <t>BLOCKED</t>
        </is>
      </c>
      <c r="I55" t="inlineStr">
        <is>
          <t>Same upload wall; letter ready</t>
        </is>
      </c>
    </row>
    <row r="56">
      <c r="A56" t="inlineStr">
        <is>
          <t>2026-10-23</t>
        </is>
      </c>
      <c r="B56" t="inlineStr">
        <is>
          <t>Johnson Controls</t>
        </is>
      </c>
      <c r="C56" t="inlineStr">
        <is>
          <t>NextGen Hardware Engineer - Controls (WD30279368)</t>
        </is>
      </c>
      <c r="D56" t="inlineStr">
        <is>
          <t>Milwaukee, WI</t>
        </is>
      </c>
      <c r="E56" t="inlineStr">
        <is>
          <t>https://jobs.johnsoncontrols.com/job/WD30279368</t>
        </is>
      </c>
      <c r="F56" t="inlineStr">
        <is>
          <t>BLOCKED</t>
        </is>
      </c>
      <c r="I56" t="inlineStr">
        <is>
          <t>Same upload wall; letter ready</t>
        </is>
      </c>
    </row>
    <row r="57">
      <c r="A57" t="inlineStr">
        <is>
          <t>2026-10-23</t>
        </is>
      </c>
      <c r="B57" t="inlineStr">
        <is>
          <t>Amazon</t>
        </is>
      </c>
      <c r="C57" t="inlineStr">
        <is>
          <t>Cloud Hardware Development Engineer Intern (Annapurna, 10517649)</t>
        </is>
      </c>
      <c r="D57" t="inlineStr">
        <is>
          <t>Austin, TX / Cupertino, CA</t>
        </is>
      </c>
      <c r="E57" t="inlineStr">
        <is>
          <t>https://amazon.jobs/en/jobs/10517649/cloud-hardware-development-engineer-intern-annapurna-labs-2027</t>
        </is>
      </c>
      <c r="F57" t="inlineStr">
        <is>
          <t>BLOCKED</t>
        </is>
      </c>
      <c r="I57" t="inlineStr">
        <is>
          <t>amazon.jobs sign-in wall (no saved login); letter ready</t>
        </is>
      </c>
    </row>
    <row r="58">
      <c r="A58" t="inlineStr">
        <is>
          <t>2026-10-23</t>
        </is>
      </c>
      <c r="B58" t="inlineStr">
        <is>
          <t>Amazon</t>
        </is>
      </c>
      <c r="C58" t="inlineStr">
        <is>
          <t>ASIC Engineer Intern (Annapurna, 10517535)</t>
        </is>
      </c>
      <c r="D58" t="inlineStr">
        <is>
          <t>Seattle, WA / Austin, TX / Cupertino, CA</t>
        </is>
      </c>
      <c r="E58" t="inlineStr">
        <is>
          <t>https://amazon.jobs/en/jobs/10517535/asic-engineer-intern-annapurna-labs-2027</t>
        </is>
      </c>
      <c r="F58" t="inlineStr">
        <is>
          <t>BLOCKED</t>
        </is>
      </c>
      <c r="I58" t="inlineStr">
        <is>
          <t>Same sign-in wall; letter ready</t>
        </is>
      </c>
    </row>
    <row r="59">
      <c r="A59" t="inlineStr">
        <is>
          <t>2026-10-23</t>
        </is>
      </c>
      <c r="B59" t="inlineStr">
        <is>
          <t>HPE</t>
        </is>
      </c>
      <c r="C59" t="inlineStr">
        <is>
          <t>ASIC Engineering Intern (1214234)</t>
        </is>
      </c>
      <c r="D59" t="inlineStr">
        <is>
          <t>Durham, NC</t>
        </is>
      </c>
      <c r="E59" t="inlineStr">
        <is>
          <t>https://hpe.wd5.myworkdayjobs.com/jobsathpe/job/Durham-North-Carolina-United-States-of-America/ASIC-Engineering-Intern_1214234</t>
        </is>
      </c>
      <c r="F59" s="43" t="inlineStr">
        <is>
          <t>SUBMITTED</t>
        </is>
      </c>
      <c r="H59" t="inlineStr">
        <is>
          <t>Session v3 confirmed 2026-10-23</t>
        </is>
      </c>
      <c r="I59" t="inlineStr">
        <is>
          <t>HPE Workday sign-in wall; letter ready | Confirmation: "Application Submitted — Your application has successfully been submitted." (session v3, 2026-10-23)</t>
        </is>
      </c>
    </row>
    <row r="60">
      <c r="A60" t="inlineStr">
        <is>
          <t>2026-10-23</t>
        </is>
      </c>
      <c r="B60" t="inlineStr">
        <is>
          <t>HPE</t>
        </is>
      </c>
      <c r="C60" t="inlineStr">
        <is>
          <t>Electrical Hardware Engineer I - Graduate (1213428)</t>
        </is>
      </c>
      <c r="D60" t="inlineStr">
        <is>
          <t>Chippewa Falls, WI</t>
        </is>
      </c>
      <c r="E60" t="inlineStr">
        <is>
          <t>https://hpe.wd5.myworkdayjobs.com/jobsathpe/job/Chippewa-Falls-Wisconsin-United-States-of-America/Electrical-Hardware-Engineer-I---Graduate_1213428</t>
        </is>
      </c>
      <c r="F60" s="43" t="inlineStr">
        <is>
          <t>SUBMITTED</t>
        </is>
      </c>
      <c r="H60" t="inlineStr">
        <is>
          <t>Session v3 confirmed 2026-10-23</t>
        </is>
      </c>
      <c r="I60" t="inlineStr">
        <is>
          <t>Same sign-in wall; letter ready | Confirmation: "Application Submitted — Your application has successfully been submitted." (session v3, 2026-10-23)</t>
        </is>
      </c>
    </row>
    <row r="61">
      <c r="A61" t="inlineStr">
        <is>
          <t>2026-10-23</t>
        </is>
      </c>
      <c r="B61" t="inlineStr">
        <is>
          <t>Badger Meter</t>
        </is>
      </c>
      <c r="C61" t="inlineStr">
        <is>
          <t>Engineer I - Firmware (req 4628)</t>
        </is>
      </c>
      <c r="D61" t="inlineStr">
        <is>
          <t>Milwaukee, WI</t>
        </is>
      </c>
      <c r="E61" t="inlineStr">
        <is>
          <t>https://badgermeter.wd5.myworkdayjobs.com/US_CareerSite/job/Milwaukee-WI/Engineer-I--Firmware_4628</t>
        </is>
      </c>
      <c r="F61" s="43" t="inlineStr">
        <is>
          <t>SUBMITTED</t>
        </is>
      </c>
      <c r="H61" t="inlineStr">
        <is>
          <t>Session v3 confirmed 2026-10-23</t>
        </is>
      </c>
      <c r="I61" t="inlineStr">
        <is>
          <t>Account creation needs Adam-set password; letter ready | Confirmation: "Application Submitted — Your application has successfully been submitted." Account created + verified same session. (2026-10-23)</t>
        </is>
      </c>
    </row>
    <row r="62">
      <c r="A62" t="inlineStr">
        <is>
          <t>2026-10-23</t>
        </is>
      </c>
      <c r="B62" t="inlineStr">
        <is>
          <t>Shure</t>
        </is>
      </c>
      <c r="C62" t="inlineStr">
        <is>
          <t>Embedded Software Intern (Summer 2027, 2026-5018)</t>
        </is>
      </c>
      <c r="D62" t="inlineStr">
        <is>
          <t>Niles, IL (Hybrid)</t>
        </is>
      </c>
      <c r="E62" t="inlineStr">
        <is>
          <t>https://careersus-shure.icims.com/jobs/5018/embedded-software-intern/job?hub=7</t>
        </is>
      </c>
      <c r="F62" s="43" t="inlineStr">
        <is>
          <t>SUBMITTED</t>
        </is>
      </c>
      <c r="H62" t="inlineStr">
        <is>
          <t>Session v3 confirmed 2026-10-23</t>
        </is>
      </c>
      <c r="I62" t="inlineStr">
        <is>
          <t>Form fully filled, resume+letter attached; needs Adam-set iCIMS password | Confirmation: "Your application was submitted successfully." Dashboard: Received Submission. Cover letter attached as Additional Document. (session v3, 2026-10-23)</t>
        </is>
      </c>
    </row>
    <row r="63">
      <c r="A63" t="inlineStr">
        <is>
          <t>2026-10-23</t>
        </is>
      </c>
      <c r="B63" t="inlineStr">
        <is>
          <t>Shure</t>
        </is>
      </c>
      <c r="C63" t="inlineStr">
        <is>
          <t>Electrical Engineering Intern (Digital Circuitry &amp; Test Automation) (Summer 2027)</t>
        </is>
      </c>
      <c r="D63" t="inlineStr">
        <is>
          <t>Niles, IL (on-site)</t>
        </is>
      </c>
      <c r="E63" t="inlineStr">
        <is>
          <t>https://careersus-shure.icims.com/jobs/5028/electrical-engineering-intern-%2528digital-circuitry-%2526-test-automation%2529/job?hub=7</t>
        </is>
      </c>
      <c r="F63" s="43" t="inlineStr">
        <is>
          <t>SUBMITTED</t>
        </is>
      </c>
      <c r="H63" t="inlineStr">
        <is>
          <t>Session v3 confirmed 2026-10-23</t>
        </is>
      </c>
      <c r="I63" t="inlineStr">
        <is>
          <t>Same iCIMS account password wall; letter ready | Confirmation: "Your application was submitted successfully." / "You are currently submitted to this job." Cover letter on profile as Additional Document 2. (session v3, 2026-10-23)</t>
        </is>
      </c>
    </row>
    <row r="64">
      <c r="A64" t="inlineStr">
        <is>
          <t>2026-10-23</t>
        </is>
      </c>
      <c r="B64" t="inlineStr">
        <is>
          <t>Emerson</t>
        </is>
      </c>
      <c r="C64" t="inlineStr">
        <is>
          <t>Digital Hardware Engineer 1 (26011531)</t>
        </is>
      </c>
      <c r="D64" t="inlineStr">
        <is>
          <t>Austin, TX (Hybrid)</t>
        </is>
      </c>
      <c r="E64" t="inlineStr">
        <is>
          <t>https://hdjq.fa.us2.oraclecloud.com/hcmUI/CandidateExperience/en/sites/CX_1/job/26011531</t>
        </is>
      </c>
      <c r="F64" s="43" t="inlineStr">
        <is>
          <t>SUBMITTED</t>
        </is>
      </c>
      <c r="H64" t="inlineStr">
        <is>
          <t>Session v3 confirmed 2026-10-23</t>
        </is>
      </c>
      <c r="I64" t="inlineStr">
        <is>
          <t>Email verification code needed (burner Gmail not linked); form step 1 mapped, all DB-covered; tab left on verify screen; letter ready | Confirmation: My Applications lists job 26011531 as Applied 10/23/2026, Status: Under Consideration. Cover letter attached. (session v3, 2026-10-23)</t>
        </is>
      </c>
    </row>
    <row r="65">
      <c r="A65" t="inlineStr">
        <is>
          <t>2026-10-22</t>
        </is>
      </c>
      <c r="B65" t="inlineStr">
        <is>
          <t>Micron</t>
        </is>
      </c>
      <c r="C65" t="inlineStr">
        <is>
          <t>Intern, Design Engineer, HBM (JR112552)</t>
        </is>
      </c>
      <c r="D65" t="inlineStr">
        <is>
          <t>Richardson, TX</t>
        </is>
      </c>
      <c r="E65" t="inlineStr">
        <is>
          <t>https://micron.wd1.myworkdayjobs.com</t>
        </is>
      </c>
      <c r="F65" s="43" t="inlineStr">
        <is>
          <t>SUBMITTED</t>
        </is>
      </c>
      <c r="G65" t="inlineStr">
        <is>
          <t>asResumeFa26_i.pdf</t>
        </is>
      </c>
      <c r="H65" t="inlineStr">
        <is>
          <t>Portal-verified 2026-10-23</t>
        </is>
      </c>
      <c r="I65" t="inlineStr">
        <is>
          <t>My Applications: In Process, Date Submitted October 22, 2026. Submitted by the 10-22 evening session whose outcome was unknown; verified in session v3 — no duplicate made.</t>
        </is>
      </c>
    </row>
    <row r="66">
      <c r="A66" t="inlineStr">
        <is>
          <t>2026-10-24</t>
        </is>
      </c>
      <c r="B66" t="inlineStr">
        <is>
          <t>Anduril</t>
        </is>
      </c>
      <c r="C66" t="inlineStr">
        <is>
          <t>Early Career Firmware Engineer (2027)</t>
        </is>
      </c>
      <c r="D66" t="inlineStr">
        <is>
          <t>Costa Mesa, CA</t>
        </is>
      </c>
      <c r="E66" t="inlineStr">
        <is>
          <t>https://boards.greenhouse.io/andurilindustries/jobs/5246141007</t>
        </is>
      </c>
      <c r="F66" t="inlineStr">
        <is>
          <t>SUBMITTED</t>
        </is>
      </c>
      <c r="G66" t="inlineStr">
        <is>
          <t>asResumeFa26_n.pdf</t>
        </is>
      </c>
      <c r="H66" t="inlineStr">
        <is>
          <t>Greenhouse: "Thank you for applying. Your application has been received."</t>
        </is>
      </c>
      <c r="I66" t="inlineStr">
        <is>
          <t>Cover letter attached; US citizen, auth Yes, sponsorship No</t>
        </is>
      </c>
    </row>
    <row r="67">
      <c r="A67" t="inlineStr">
        <is>
          <t>2026-10-24</t>
        </is>
      </c>
      <c r="B67" t="inlineStr">
        <is>
          <t>Freeform Future</t>
        </is>
      </c>
      <c r="C67" t="inlineStr">
        <is>
          <t>FPGA Engineer New Grad (Summer 2027)</t>
        </is>
      </c>
      <c r="D67" t="inlineStr">
        <is>
          <t>Los Angeles, CA</t>
        </is>
      </c>
      <c r="E67" t="inlineStr">
        <is>
          <t>https://job-boards.greenhouse.io/freeformfuturecorp/jobs/8016243003</t>
        </is>
      </c>
      <c r="F67" s="43" t="inlineStr">
        <is>
          <t>SUBMITTED</t>
        </is>
      </c>
      <c r="H67" t="inlineStr">
        <is>
          <t>Greenhouse confirmation 2026-10-24</t>
        </is>
      </c>
      <c r="I67" t="inlineStr">
        <is>
          <t>Novel Qs: strongest coding language; SAT; ACT; how-heard (no Company Website option). Resume+letter attached, not submitted. | Confirmation: "Thank you for applying to Freeform!" (2026-10-24)</t>
        </is>
      </c>
    </row>
    <row r="68">
      <c r="A68" t="inlineStr">
        <is>
          <t>2026-10-24</t>
        </is>
      </c>
      <c r="B68" t="inlineStr">
        <is>
          <t>Lightmatter</t>
        </is>
      </c>
      <c r="C68" t="inlineStr">
        <is>
          <t>Silicon Intern - Hardware &amp; Photonics</t>
        </is>
      </c>
      <c r="D68" t="inlineStr">
        <is>
          <t>Remote (US)</t>
        </is>
      </c>
      <c r="E68" t="inlineStr">
        <is>
          <t>https://boards.greenhouse.io/lightmatter/jobs/5425407008</t>
        </is>
      </c>
      <c r="F68" t="inlineStr">
        <is>
          <t>DEAD</t>
        </is>
      </c>
      <c r="I68" t="inlineStr">
        <is>
          <t>Redirects to careers page; no such opening.</t>
        </is>
      </c>
    </row>
    <row r="69">
      <c r="A69" t="inlineStr">
        <is>
          <t>2026-10-24</t>
        </is>
      </c>
      <c r="B69" t="inlineStr">
        <is>
          <t>CesiumAstro</t>
        </is>
      </c>
      <c r="C69" t="inlineStr">
        <is>
          <t>Electrical Engineering Internship, Hardware (Summer 2027)</t>
        </is>
      </c>
      <c r="D69" t="inlineStr">
        <is>
          <t>Austin, TX</t>
        </is>
      </c>
      <c r="E69" t="inlineStr">
        <is>
          <t>https://jobs.lever.co/CesiumAstro/6a953cbc-af69-452c-b357-1a0a3db80bbf</t>
        </is>
      </c>
      <c r="F69" t="inlineStr">
        <is>
          <t>BLOCKED</t>
        </is>
      </c>
      <c r="I69" t="inlineStr">
        <is>
          <t>hCaptcha failed 3x; resume dropped each time; no cover-letter slot.</t>
        </is>
      </c>
    </row>
    <row r="70">
      <c r="A70" t="inlineStr">
        <is>
          <t>2026-10-24</t>
        </is>
      </c>
      <c r="B70" t="inlineStr">
        <is>
          <t>RTX</t>
        </is>
      </c>
      <c r="C70" t="inlineStr">
        <is>
          <t>FPGA/Digital Design Engineer 1 (01879326)</t>
        </is>
      </c>
      <c r="D70" t="inlineStr">
        <is>
          <t>Tucson, AZ</t>
        </is>
      </c>
      <c r="E70" t="inlineStr">
        <is>
          <t>https://globalhr.wd5.myworkdayjobs.com/rec_rtx_ext_gateway/job/US-AZ-TUCSON-M02--1151-E-Hermans-Rd--BLDG-M02/FPGA--Digital-Design-Engineer-I---Onsite_01879326</t>
        </is>
      </c>
      <c r="F70" t="inlineStr">
        <is>
          <t>BLOCKED</t>
        </is>
      </c>
      <c r="I70" t="inlineStr">
        <is>
          <t>Workday sign-in wall, no saved login; clearance-required note untested.</t>
        </is>
      </c>
    </row>
    <row r="71">
      <c r="A71" t="inlineStr">
        <is>
          <t>2026-10-24</t>
        </is>
      </c>
      <c r="B71" t="inlineStr">
        <is>
          <t>RTX</t>
        </is>
      </c>
      <c r="C71" t="inlineStr">
        <is>
          <t>Electrical Engineer 1 - Computing Products (01866307)</t>
        </is>
      </c>
      <c r="D71" t="inlineStr">
        <is>
          <t>Cedar Rapids, IA</t>
        </is>
      </c>
      <c r="E71" t="inlineStr">
        <is>
          <t>https://globalhr.wd5.myworkdayjobs.com/fr-CA/Private_Posting_No_TMP/job/US-IA-CEDAR-RAPIDS-131--5450-C-Ave-NE--BLDG-131/Electrical-Engineer-I---Computing-Products--Onsite-_01866307-2</t>
        </is>
      </c>
      <c r="F71" t="inlineStr">
        <is>
          <t>BLOCKED</t>
        </is>
      </c>
      <c r="I71" t="inlineStr">
        <is>
          <t>Workday sign-in wall, no saved login.</t>
        </is>
      </c>
    </row>
    <row r="72">
      <c r="A72" t="inlineStr">
        <is>
          <t>2026-10-24</t>
        </is>
      </c>
      <c r="B72" t="inlineStr">
        <is>
          <t>HPE</t>
        </is>
      </c>
      <c r="C72" t="inlineStr">
        <is>
          <t>Electrical Hardware Engineering Intern (1213409)</t>
        </is>
      </c>
      <c r="D72" t="inlineStr">
        <is>
          <t>Chippewa Falls, WI</t>
        </is>
      </c>
      <c r="E72" t="inlineStr">
        <is>
          <t>https://hpe.wd5.myworkdayjobs.com/jobsathpe/job/Chippewa-Falls-Wisconsin-United-States-of-America/Electrical-Hardware-Engineering-Intern_1213409</t>
        </is>
      </c>
      <c r="F72" t="inlineStr">
        <is>
          <t>BLOCKED</t>
        </is>
      </c>
      <c r="I72" t="inlineStr">
        <is>
          <t>Workday sign-in wall, no saved login; ends Feb 26 2027.</t>
        </is>
      </c>
    </row>
    <row r="73">
      <c r="A73" t="inlineStr">
        <is>
          <t>2026-10-24</t>
        </is>
      </c>
      <c r="B73" t="inlineStr">
        <is>
          <t>RTX</t>
        </is>
      </c>
      <c r="C73" t="inlineStr">
        <is>
          <t>Flight Controls Hardware Engineer 1 (01870404)</t>
        </is>
      </c>
      <c r="D73" t="inlineStr">
        <is>
          <t>Cedar Rapids, IA</t>
        </is>
      </c>
      <c r="E73" t="inlineStr">
        <is>
          <t>https://globalhr.wd5.myworkdayjobs.com/rec_rtx_ext_gateway/job/US-IA-CEDAR-RAPIDS-193--1120-Collins-Rd-NE--BLDG193/Flight-Controls-Hardware-Engineer-I--Onsite-_01870404</t>
        </is>
      </c>
      <c r="F73" t="inlineStr">
        <is>
          <t>BLOCKED</t>
        </is>
      </c>
      <c r="I73" t="inlineStr">
        <is>
          <t>Backup; Workday sign-in wall, no saved login.</t>
        </is>
      </c>
    </row>
    <row r="74">
      <c r="A74" t="inlineStr">
        <is>
          <t>2026-10-25</t>
        </is>
      </c>
      <c r="B74" t="inlineStr">
        <is>
          <t>Tenstorrent</t>
        </is>
      </c>
      <c r="C74" t="inlineStr">
        <is>
          <t>Hardware Intern - Architecture, AI HW &amp; System on a Chip (Summer 2027)</t>
        </is>
      </c>
      <c r="D74" t="inlineStr">
        <is>
          <t>Austin, TX</t>
        </is>
      </c>
      <c r="E74" t="inlineStr">
        <is>
          <t>https://job-boards.greenhouse.io/tenstorrentuniversity/jobs/5256691007</t>
        </is>
      </c>
      <c r="F74" t="inlineStr">
        <is>
          <t>SUBMITTED</t>
        </is>
      </c>
      <c r="G74" t="inlineStr">
        <is>
          <t>asResumeFa26_i.pdf</t>
        </is>
      </c>
      <c r="H74" t="inlineStr">
        <is>
          <t>Greenhouse: "Thank you for applying. Your application has been received."</t>
        </is>
      </c>
      <c r="I74" t="inlineStr">
        <is>
          <t>Cover letter + transcript attached; CPT/OPT No (US citizen); in-office 5 days/week Yes; start May 2027</t>
        </is>
      </c>
    </row>
    <row r="75">
      <c r="A75" t="inlineStr">
        <is>
          <t>2026-10-25</t>
        </is>
      </c>
      <c r="B75" t="inlineStr">
        <is>
          <t>Arc Boat Company</t>
        </is>
      </c>
      <c r="C75" t="inlineStr">
        <is>
          <t>Electrical Hardware Engineering Intern (Summer 2027)</t>
        </is>
      </c>
      <c r="D75" t="inlineStr">
        <is>
          <t>Torrance, CA</t>
        </is>
      </c>
      <c r="E75" t="inlineStr">
        <is>
          <t>https://job-boards.greenhouse.io/arcboatcompany/jobs/5442853008</t>
        </is>
      </c>
      <c r="F75" t="inlineStr">
        <is>
          <t>BLOCKED</t>
        </is>
      </c>
      <c r="I75" t="inlineStr">
        <is>
          <t>Submit pressed 3x total across runs, never confirmed; do not resubmit without Adam instruction</t>
        </is>
      </c>
    </row>
    <row r="76">
      <c r="A76" t="inlineStr">
        <is>
          <t>2026-10-25</t>
        </is>
      </c>
      <c r="B76" t="inlineStr">
        <is>
          <t>Neuralink</t>
        </is>
      </c>
      <c r="C76" t="inlineStr">
        <is>
          <t>Electrical Engineer Intern, Implant Embedded Systems</t>
        </is>
      </c>
      <c r="D76" t="inlineStr">
        <is>
          <t>Austin, TX / South San Francisco, CA</t>
        </is>
      </c>
      <c r="E76" t="inlineStr">
        <is>
          <t>https://boards.greenhouse.io/neuralink/jobs/7702527003</t>
        </is>
      </c>
      <c r="F76" t="inlineStr">
        <is>
          <t>PENDING</t>
        </is>
      </c>
      <c r="I76" t="inlineStr">
        <is>
          <t>Novel essay: 3-4 exceptional-ability bullets with quantitative metrics</t>
        </is>
      </c>
    </row>
    <row r="77">
      <c r="A77" t="inlineStr">
        <is>
          <t>2026-10-25</t>
        </is>
      </c>
      <c r="B77" t="inlineStr">
        <is>
          <t>Virtu Financial</t>
        </is>
      </c>
      <c r="C77" t="inlineStr">
        <is>
          <t>Hardware Engineer Intern - FPGA</t>
        </is>
      </c>
      <c r="D77" t="inlineStr">
        <is>
          <t>Austin, TX</t>
        </is>
      </c>
      <c r="E77" t="inlineStr">
        <is>
          <t>https://job-boards.greenhouse.io/virtu/jobs/8657286002</t>
        </is>
      </c>
      <c r="F77" t="inlineStr">
        <is>
          <t>PENDING</t>
        </is>
      </c>
      <c r="I77" t="inlineStr">
        <is>
          <t>Novel Qs: full-time 2028 readiness, outstanding offers/deadlines, Winternship interest, education start year</t>
        </is>
      </c>
    </row>
    <row r="78">
      <c r="A78" t="inlineStr">
        <is>
          <t>2026-10-25</t>
        </is>
      </c>
      <c r="B78" t="inlineStr">
        <is>
          <t>SpaceX</t>
        </is>
      </c>
      <c r="C78" t="inlineStr">
        <is>
          <t>Summer 2027 Silicon Engineering Internship/Co-op</t>
        </is>
      </c>
      <c r="D78" t="inlineStr">
        <is>
          <t>Palo Alto, CA / Irvine, CA / Redmond, WA</t>
        </is>
      </c>
      <c r="E78" t="inlineStr">
        <is>
          <t>https://job-boards.greenhouse.io/spacex/jobs/8621763002</t>
        </is>
      </c>
      <c r="F78" t="inlineStr">
        <is>
          <t>PENDING</t>
        </is>
      </c>
      <c r="I78" t="inlineStr">
        <is>
          <t>Novel essay: top two exceptional accomplishments; plus program preference, enrollment, dates, language levels</t>
        </is>
      </c>
    </row>
    <row r="79">
      <c r="A79" t="inlineStr">
        <is>
          <t>2026-10-25</t>
        </is>
      </c>
      <c r="B79" t="inlineStr">
        <is>
          <t>IMC Trading</t>
        </is>
      </c>
      <c r="C79" t="inlineStr">
        <is>
          <t>Hardware Engineer Intern</t>
        </is>
      </c>
      <c r="D79" t="inlineStr">
        <is>
          <t>Chicago, IL</t>
        </is>
      </c>
      <c r="E79" t="inlineStr">
        <is>
          <t>https://job-boards.eu.greenhouse.io/imc/jobs/4823945101</t>
        </is>
      </c>
      <c r="F79" t="inlineStr">
        <is>
          <t>DEAD</t>
        </is>
      </c>
      <c r="I79" t="inlineStr">
        <is>
          <t>Posting closed: "no longer open"</t>
        </is>
      </c>
    </row>
    <row r="80">
      <c r="A80" t="inlineStr">
        <is>
          <t>2026-10-25</t>
        </is>
      </c>
      <c r="B80" t="inlineStr">
        <is>
          <t>Hyannis Port Research</t>
        </is>
      </c>
      <c r="C80" t="inlineStr">
        <is>
          <t>FPGA Engineer Intern - Summer 2027</t>
        </is>
      </c>
      <c r="D80" t="inlineStr">
        <is>
          <t>Needham, MA</t>
        </is>
      </c>
      <c r="E80" t="inlineStr">
        <is>
          <t>https://job-boards.greenhouse.io/hyannisportresearch/jobs/7822801003</t>
        </is>
      </c>
      <c r="F80" t="inlineStr">
        <is>
          <t>BLOCKED</t>
        </is>
      </c>
      <c r="I80" t="inlineStr">
        <is>
          <t>Submit pressed once, never confirmed; do not resubmit without Adam instruction</t>
        </is>
      </c>
    </row>
    <row r="81">
      <c r="A81" t="inlineStr">
        <is>
          <t>2026-10-25</t>
        </is>
      </c>
      <c r="B81" t="inlineStr">
        <is>
          <t>Astera Labs</t>
        </is>
      </c>
      <c r="C81" t="inlineStr">
        <is>
          <t>Applied AI Intern - Non-Silicon</t>
        </is>
      </c>
      <c r="D81" t="inlineStr">
        <is>
          <t>San Jose, CA</t>
        </is>
      </c>
      <c r="E81" t="inlineStr">
        <is>
          <t>https://job-boards.greenhouse.io/asteraearlycareer2027/jobs/4728357005</t>
        </is>
      </c>
      <c r="F81" t="inlineStr">
        <is>
          <t>PENDING</t>
        </is>
      </c>
      <c r="I81" t="inlineStr">
        <is>
          <t>Discipline dropdown lacks ECE/Computer Engineering options</t>
        </is>
      </c>
    </row>
    <row r="82">
      <c r="A82" t="inlineStr">
        <is>
          <t>2026-10-25</t>
        </is>
      </c>
      <c r="B82" t="inlineStr">
        <is>
          <t>Extreme Engineering Solutions (X-ES)</t>
        </is>
      </c>
      <c r="C82" t="inlineStr">
        <is>
          <t>Embedded Hardware Engineering Co-Op</t>
        </is>
      </c>
      <c r="D82" t="inlineStr">
        <is>
          <t>Verona, WI</t>
        </is>
      </c>
      <c r="E82" t="inlineStr">
        <is>
          <t>https://www.xes-inc.com/about/careers/student-co-op-opportunities/embedded-hardware-engineering-co-op/</t>
        </is>
      </c>
      <c r="F82" t="inlineStr">
        <is>
          <t>PENDING-DECISION</t>
        </is>
      </c>
      <c r="I82" t="inlineStr">
        <is>
          <t>Eligibility requires pursuing degree; terms Jan-Aug 2027 or May-Dec 2027; needs Adam call (grad Spring 2027)</t>
        </is>
      </c>
    </row>
    <row r="83">
      <c r="A83" t="inlineStr">
        <is>
          <t>2026-10-25</t>
        </is>
      </c>
      <c r="B83" t="inlineStr">
        <is>
          <t>Hewlett Packard Enterprise</t>
        </is>
      </c>
      <c r="C83" t="inlineStr">
        <is>
          <t>ASIC Verification Engineering Intern (1214219)</t>
        </is>
      </c>
      <c r="D83" t="inlineStr">
        <is>
          <t>Roseville, CA</t>
        </is>
      </c>
      <c r="E83" t="inlineStr">
        <is>
          <t>https://hpe.wd5.myworkdayjobs.com/jobsathpe/job/Roseville-California-United-States-of-America/ASIC-Verification-Engineering-Intern_1214219</t>
        </is>
      </c>
      <c r="F83" t="inlineStr">
        <is>
          <t>BLOCKED</t>
        </is>
      </c>
      <c r="I83" t="inlineStr">
        <is>
          <t>Workday sign-in wall, no saved login</t>
        </is>
      </c>
    </row>
    <row r="84">
      <c r="A84" t="inlineStr">
        <is>
          <t>2026-10-25</t>
        </is>
      </c>
      <c r="B84" t="inlineStr">
        <is>
          <t>Hewlett Packard Enterprise</t>
        </is>
      </c>
      <c r="C84" t="inlineStr">
        <is>
          <t>ASIC Verification/Design Engineering Intern (1214211)</t>
        </is>
      </c>
      <c r="D84" t="inlineStr">
        <is>
          <t>Roseville, CA</t>
        </is>
      </c>
      <c r="E84" t="inlineStr">
        <is>
          <t>https://hpe.wd5.myworkdayjobs.com/jobsathpe/job/Roseville-California-United-States-of-America/ASIC-Verification-Design-Engineering-Intern_1214211</t>
        </is>
      </c>
      <c r="F84" t="inlineStr">
        <is>
          <t>BLOCKED</t>
        </is>
      </c>
      <c r="I84" t="inlineStr">
        <is>
          <t>Workday sign-in wall, no saved login</t>
        </is>
      </c>
    </row>
    <row r="85">
      <c r="A85" t="inlineStr">
        <is>
          <t>2026-10-25</t>
        </is>
      </c>
      <c r="B85" t="inlineStr">
        <is>
          <t>Hewlett Packard Enterprise</t>
        </is>
      </c>
      <c r="C85" t="inlineStr">
        <is>
          <t>Hardware Engineering Intern (1213408)</t>
        </is>
      </c>
      <c r="D85" t="inlineStr">
        <is>
          <t>Spring, TX / Chippewa Falls, WI</t>
        </is>
      </c>
      <c r="E85" t="inlineStr">
        <is>
          <t>https://hpe.wd5.myworkdayjobs.com/jobsathpe/job/Spring-Texas-United-States-of-America/Hardware-Engineering-Intern_1213408</t>
        </is>
      </c>
      <c r="F85" t="inlineStr">
        <is>
          <t>BLOCKED</t>
        </is>
      </c>
      <c r="I85" t="inlineStr">
        <is>
          <t>Workday sign-in wall, no saved login</t>
        </is>
      </c>
    </row>
    <row r="86">
      <c r="A86" t="inlineStr">
        <is>
          <t>2026-10-25</t>
        </is>
      </c>
      <c r="B86" t="inlineStr">
        <is>
          <t>Hewlett Packard Enterprise</t>
        </is>
      </c>
      <c r="C86" t="inlineStr">
        <is>
          <t>VLSI Design Verification Internship (1213400)</t>
        </is>
      </c>
      <c r="D86" t="inlineStr">
        <is>
          <t>Chippewa Falls, WI</t>
        </is>
      </c>
      <c r="E86" t="inlineStr">
        <is>
          <t>https://hpe.wd5.myworkdayjobs.com/jobsathpe/job/Chippewa-Falls-Wisconsin-United-States-of-America/VLSI-Design-Verification-Internship_1213400</t>
        </is>
      </c>
      <c r="F86" t="inlineStr">
        <is>
          <t>BLOCKED</t>
        </is>
      </c>
      <c r="I86" t="inlineStr">
        <is>
          <t>Workday sign-in wall, no saved login</t>
        </is>
      </c>
    </row>
    <row r="87">
      <c r="A87" t="inlineStr">
        <is>
          <t>2026-10-25</t>
        </is>
      </c>
      <c r="B87" t="inlineStr">
        <is>
          <t>Hewlett Packard Enterprise</t>
        </is>
      </c>
      <c r="C87" t="inlineStr">
        <is>
          <t>ASIC Firmware and Diagnostic Intern (1213415)</t>
        </is>
      </c>
      <c r="D87" t="inlineStr">
        <is>
          <t>Chippewa Falls, WI</t>
        </is>
      </c>
      <c r="E87" t="inlineStr">
        <is>
          <t>https://hpe.wd5.myworkdayjobs.com/jobsathpe/job/Chippewa-Falls-Wisconsin-United-States-of-America/ASIC-Firmware-and-Diagnostic-Intern_1213415</t>
        </is>
      </c>
      <c r="F87" t="inlineStr">
        <is>
          <t>BLOCKED</t>
        </is>
      </c>
      <c r="I87" t="inlineStr">
        <is>
          <t>Workday sign-in wall, no saved login</t>
        </is>
      </c>
    </row>
    <row r="88">
      <c r="A88" t="inlineStr">
        <is>
          <t>2026-10-25</t>
        </is>
      </c>
      <c r="B88" t="inlineStr">
        <is>
          <t>Hewlett Packard Enterprise</t>
        </is>
      </c>
      <c r="C88" t="inlineStr">
        <is>
          <t>Electric Hardware Engineering Intern (1213414)</t>
        </is>
      </c>
      <c r="D88" t="inlineStr">
        <is>
          <t>Chippewa Falls, WI</t>
        </is>
      </c>
      <c r="E88" t="inlineStr">
        <is>
          <t>https://hpe.wd5.myworkdayjobs.com/jobsathpe/job/Chippewa-Falls-Wisconsin-United-States-of-America/Electric-Hardware-Engineering-Intern_1213414</t>
        </is>
      </c>
      <c r="F88" t="inlineStr">
        <is>
          <t>BLOCKED</t>
        </is>
      </c>
      <c r="I88" t="inlineStr">
        <is>
          <t>Workday sign-in wall, no saved login</t>
        </is>
      </c>
    </row>
    <row r="89">
      <c r="A89" t="inlineStr">
        <is>
          <t>2026-10-25</t>
        </is>
      </c>
      <c r="B89" t="inlineStr">
        <is>
          <t>Marvell</t>
        </is>
      </c>
      <c r="C89" t="inlineStr">
        <is>
          <t>Hardware Engineer Intern, BS - Summer 2027 (2604975)</t>
        </is>
      </c>
      <c r="D89" t="inlineStr">
        <is>
          <t>Santa Clara, CA</t>
        </is>
      </c>
      <c r="E89" t="inlineStr">
        <is>
          <t>https://marvell.wd1.myworkdayjobs.com/MarvellCareers2/job/Santa-Clara-CA/Hardware-Engineer-Intern--BS---Summer-2027_2604975</t>
        </is>
      </c>
      <c r="F89" t="inlineStr">
        <is>
          <t>BLOCKED</t>
        </is>
      </c>
      <c r="I89" t="inlineStr">
        <is>
          <t>Workday sign-in wall, no saved login; distinct from submitted 2603850</t>
        </is>
      </c>
    </row>
    <row r="90">
      <c r="A90" t="inlineStr">
        <is>
          <t>2026-10-25</t>
        </is>
      </c>
      <c r="B90" t="inlineStr">
        <is>
          <t>GE Vernova</t>
        </is>
      </c>
      <c r="C90" t="inlineStr">
        <is>
          <t>Firmware Engineer - Early Career (R5055844-2)</t>
        </is>
      </c>
      <c r="D90" t="inlineStr">
        <is>
          <t>Roanoke, VA</t>
        </is>
      </c>
      <c r="E90" t="inlineStr">
        <is>
          <t>https://gevernova.wd5.myworkdayjobs.com/vernova_externalsite/job/Roanoke-US-VA-3/Firmware-Engineer---Early-Career_R5055844-2</t>
        </is>
      </c>
      <c r="F90" t="inlineStr">
        <is>
          <t>DEAD</t>
        </is>
      </c>
      <c r="I90" t="inlineStr">
        <is>
          <t>URL returns page-not-found; remove from queued targets</t>
        </is>
      </c>
    </row>
    <row r="91">
      <c r="A91" t="inlineStr">
        <is>
          <t>2026-10-25</t>
        </is>
      </c>
      <c r="B91" t="inlineStr">
        <is>
          <t>Sound Devices</t>
        </is>
      </c>
      <c r="C91" t="inlineStr">
        <is>
          <t>(email-only full-time Embedded Software Engineer; no intern/new-grad form)</t>
        </is>
      </c>
      <c r="D91" t="inlineStr">
        <is>
          <t>Madison, WI</t>
        </is>
      </c>
      <c r="E91" t="inlineStr">
        <is>
          <t>https://www.sounddevices.com/company/careers/</t>
        </is>
      </c>
      <c r="F91" t="inlineStr">
        <is>
          <t>NO_OPENING</t>
        </is>
      </c>
      <c r="I91" t="inlineStr">
        <is>
          <t>Email-only route; loop never emails</t>
        </is>
      </c>
    </row>
  </sheetData>
  <autoFilter ref="A1:I1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U42"/>
  <sheetViews>
    <sheetView topLeftCell="A28" zoomScale="115" zoomScaleNormal="115" workbookViewId="0">
      <selection activeCell="B61" sqref="B61"/>
    </sheetView>
  </sheetViews>
  <sheetFormatPr baseColWidth="8" defaultRowHeight="14.25"/>
  <cols>
    <col width="12" customWidth="1" min="1" max="1"/>
    <col width="28" customWidth="1" min="2" max="2"/>
    <col width="22" customWidth="1" min="3" max="3"/>
    <col width="28" customWidth="1" min="4" max="4"/>
    <col width="44" customWidth="1" min="5" max="6"/>
    <col width="12" customWidth="1" min="7" max="9"/>
    <col width="32" customWidth="1" min="10" max="13"/>
    <col width="48" customWidth="1" min="14" max="14"/>
    <col width="16" customWidth="1" min="15" max="17"/>
    <col width="42" customWidth="1" min="18" max="18"/>
    <col width="28" customWidth="1" min="19" max="19"/>
    <col width="34" customWidth="1" min="20" max="20"/>
  </cols>
  <sheetData>
    <row r="1" ht="26.45" customHeight="1">
      <c r="A1" s="5" t="inlineStr">
        <is>
          <t>Region</t>
        </is>
      </c>
      <c r="B1" s="5" t="inlineStr">
        <is>
          <t>Company</t>
        </is>
      </c>
      <c r="C1" s="5" t="inlineStr">
        <is>
          <t>City / Area</t>
        </is>
      </c>
      <c r="D1" s="5" t="inlineStr">
        <is>
          <t>Segment</t>
        </is>
      </c>
      <c r="E1" s="5" t="inlineStr">
        <is>
          <t>Why it belongs on your list</t>
        </is>
      </c>
      <c r="F1" s="5" t="inlineStr">
        <is>
          <t>Relevant signal for you</t>
        </is>
      </c>
      <c r="G1" s="5" t="inlineStr">
        <is>
          <t>Digital-design fit (1-5)</t>
        </is>
      </c>
      <c r="H1" s="5" t="inlineStr">
        <is>
          <t>Student access (1-5)</t>
        </is>
      </c>
      <c r="I1" s="5" t="inlineStr">
        <is>
          <t>Priority Score</t>
        </is>
      </c>
      <c r="J1" s="5" t="inlineStr">
        <is>
          <t>Website</t>
        </is>
      </c>
      <c r="K1" s="5" t="inlineStr">
        <is>
          <t>Careers / Contact</t>
        </is>
      </c>
      <c r="L1" s="5" t="inlineStr">
        <is>
          <t>Source 1</t>
        </is>
      </c>
      <c r="M1" s="5" t="inlineStr">
        <is>
          <t>Source 2</t>
        </is>
      </c>
      <c r="N1" s="5" t="inlineStr">
        <is>
          <t>First action</t>
        </is>
      </c>
      <c r="O1" s="5" t="inlineStr">
        <is>
          <t>Outreach status</t>
        </is>
      </c>
      <c r="P1" s="5" t="inlineStr">
        <is>
          <t>Date contacted</t>
        </is>
      </c>
      <c r="Q1" s="5" t="inlineStr">
        <is>
          <t>RESPONSE</t>
        </is>
      </c>
      <c r="R1" s="5" t="inlineStr">
        <is>
          <t>Role keywords to search</t>
        </is>
      </c>
      <c r="S1" s="5" t="inlineStr">
        <is>
          <t>Contact target</t>
        </is>
      </c>
      <c r="T1" s="5" t="inlineStr">
        <is>
          <t>Notes</t>
        </is>
      </c>
      <c r="U1" t="inlineStr">
        <is>
          <t>Column1</t>
        </is>
      </c>
    </row>
    <row r="2" ht="39.6" customHeight="1">
      <c r="A2" s="3" t="inlineStr">
        <is>
          <t>Chicago</t>
        </is>
      </c>
      <c r="B2" s="3" t="inlineStr">
        <is>
          <t>Motorola Solutions</t>
        </is>
      </c>
      <c r="C2" s="3" t="inlineStr">
        <is>
          <t>Chicago / Schaumburg, IL</t>
        </is>
      </c>
      <c r="D2" s="3" t="inlineStr">
        <is>
          <t>Public safety communications / embedded / RF / cybersecurity</t>
        </is>
      </c>
      <c r="E2" s="3" t="inlineStr">
        <is>
          <t>Large Chicago-area hardware/software employer with radios, secure embedded systems, communications infrastructure, and an official careers funnel.</t>
        </is>
      </c>
      <c r="F2" s="3" t="inlineStr">
        <is>
          <t>Strong fit for embedded C/C++, FPGA/RTL, RF-adjacent systems, verification, and security-minded low-level work.</t>
        </is>
      </c>
      <c r="G2" s="3" t="n">
        <v>5</v>
      </c>
      <c r="H2" s="3" t="n">
        <v>4</v>
      </c>
      <c r="I2" s="7">
        <f>G2+H2</f>
        <v/>
      </c>
      <c r="J2" s="3" t="inlineStr">
        <is>
          <t>https://www.motorolasolutions.com/</t>
        </is>
      </c>
      <c r="K2" s="3" t="inlineStr">
        <is>
          <t>https://www.motorolasolutions.com/en_us/about/careers.html</t>
        </is>
      </c>
      <c r="L2" s="3" t="inlineStr">
        <is>
          <t>https://www.motorolasolutions.com/en_us/about/careers.html</t>
        </is>
      </c>
      <c r="M2" s="3" t="inlineStr">
        <is>
          <t>https://motorolasolutions.wd5.myworkdayjobs.com/en-US/Careers</t>
        </is>
      </c>
      <c r="N2" s="3" t="inlineStr">
        <is>
          <t>Search Schaumburg for FPGA, embedded, test, firmware, cyber embedded; apply first, then message a UW alum/engineer.</t>
        </is>
      </c>
      <c r="O2" s="3" t="inlineStr">
        <is>
          <t>come back in september</t>
        </is>
      </c>
      <c r="P2" s="6" t="n">
        <v>46253</v>
      </c>
      <c r="Q2" s="6" t="n"/>
      <c r="R2" s="3" t="inlineStr">
        <is>
          <t>FPGA, embedded software, firmware, cyber embedded, C/C++, RF, verification</t>
        </is>
      </c>
      <c r="S2" s="3" t="inlineStr">
        <is>
          <t>Engineer or recruiter in Schaumburg embedded/FPGA org</t>
        </is>
      </c>
      <c r="T2" s="3" t="inlineStr">
        <is>
          <t>Top Chicago-area digital-hardware target.</t>
        </is>
      </c>
    </row>
    <row r="3" ht="39.6" customHeight="1">
      <c r="A3" s="3" t="inlineStr">
        <is>
          <t>Chicago</t>
        </is>
      </c>
      <c r="B3" s="3" t="inlineStr">
        <is>
          <t>Northrop Grumman</t>
        </is>
      </c>
      <c r="C3" s="3" t="inlineStr">
        <is>
          <t>Rolling Meadows, IL</t>
        </is>
      </c>
      <c r="D3" s="3" t="inlineStr">
        <is>
          <t>Defense electronics / RF / electronic warfare / embedded systems</t>
        </is>
      </c>
      <c r="E3" s="3" t="inlineStr">
        <is>
          <t>Rolling Meadows is a major engineering site for navigation, targeting, and self-protection systems.</t>
        </is>
      </c>
      <c r="F3" s="3" t="inlineStr">
        <is>
          <t>Very strong technical match for RF systems, embedded, FPGA/RTL, verification, systems test, and hardware bring-up.</t>
        </is>
      </c>
      <c r="G3" s="3" t="n">
        <v>5</v>
      </c>
      <c r="H3" s="3" t="n">
        <v>3</v>
      </c>
      <c r="I3" s="7">
        <f>G3+H3</f>
        <v/>
      </c>
      <c r="J3" s="3" t="inlineStr">
        <is>
          <t>https://www.northropgrumman.com/</t>
        </is>
      </c>
      <c r="K3" s="3" t="inlineStr">
        <is>
          <t>https://jobs.northropgrumman.com/</t>
        </is>
      </c>
      <c r="L3" s="3" t="inlineStr">
        <is>
          <t>https://www.northropgrumman.com/careers/northrop-grumman-in-rolling-meadows-illinois</t>
        </is>
      </c>
      <c r="M3" s="3" t="inlineStr">
        <is>
          <t>https://jobs.northropgrumman.com/locations/rolling-meadows-il/jobs/</t>
        </is>
      </c>
      <c r="N3" s="3" t="inlineStr">
        <is>
          <t>Search Rolling Meadows openings; be realistic about clearance requirements, but do not self-reject.</t>
        </is>
      </c>
      <c r="O3" s="3" t="inlineStr">
        <is>
          <t>Not contacted</t>
        </is>
      </c>
      <c r="P3" s="6" t="n">
        <v>46239</v>
      </c>
      <c r="Q3" s="6" t="n"/>
      <c r="R3" s="3" t="inlineStr">
        <is>
          <t>FPGA, RF systems, embedded software, electronic warfare, test engineer, verification</t>
        </is>
      </c>
      <c r="S3" s="3" t="inlineStr">
        <is>
          <t>Early-career recruiter or RF/embedded engineer</t>
        </is>
      </c>
      <c r="T3" s="3" t="inlineStr">
        <is>
          <t>Great signal if you want serious defense electronics. APPLIED!</t>
        </is>
      </c>
    </row>
    <row r="4" ht="52.7" customHeight="1">
      <c r="A4" s="3" t="inlineStr">
        <is>
          <t>Chicago</t>
        </is>
      </c>
      <c r="B4" s="3" t="inlineStr">
        <is>
          <t>Molex</t>
        </is>
      </c>
      <c r="C4" s="3" t="inlineStr">
        <is>
          <t>Lisle, IL</t>
        </is>
      </c>
      <c r="D4" s="3" t="inlineStr">
        <is>
          <t>Electronics connectivity / interconnect / data center / industrial automation</t>
        </is>
      </c>
      <c r="E4" s="3" t="inlineStr">
        <is>
          <t>Global electronics leader headquartered in the Chicago suburbs with exposure to automotive, data center, industrial automation, 5G, cloud, healthcare, and consumer devices.</t>
        </is>
      </c>
      <c r="F4" s="3" t="inlineStr">
        <is>
          <t>Good chip-adjacent path if you want high-speed hardware, connectors, optics, validation, signal integrity, and manufacturing-scale engineering.</t>
        </is>
      </c>
      <c r="G4" s="3" t="n">
        <v>4</v>
      </c>
      <c r="H4" s="3" t="n">
        <v>4</v>
      </c>
      <c r="I4" s="7">
        <f>G4+H4</f>
        <v/>
      </c>
      <c r="J4" s="3" t="inlineStr">
        <is>
          <t>https://www.molex.com/</t>
        </is>
      </c>
      <c r="K4" s="3" t="inlineStr">
        <is>
          <t>https://www.molex.com/en-us/about/careers</t>
        </is>
      </c>
      <c r="L4" s="3" t="inlineStr">
        <is>
          <t>https://www.molex.com/en-us/about/careers</t>
        </is>
      </c>
      <c r="M4" s="3" t="inlineStr">
        <is>
          <t>https://www.molex.com/en-us/about</t>
        </is>
      </c>
      <c r="N4" s="3" t="inlineStr">
        <is>
          <t>Search Lisle for electrical, signal integrity, validation, test, product development, and manufacturing engineering.</t>
        </is>
      </c>
      <c r="O4" s="3" t="inlineStr">
        <is>
          <t>Not contacted</t>
        </is>
      </c>
      <c r="P4" s="6" t="n">
        <v>46239</v>
      </c>
      <c r="Q4" s="6" t="n"/>
      <c r="R4" s="3" t="inlineStr">
        <is>
          <t>electrical engineer, signal integrity, validation, test, product development, optics</t>
        </is>
      </c>
      <c r="S4" s="3" t="inlineStr">
        <is>
          <t>Engineer/recruiter in Lisle electronics group</t>
        </is>
      </c>
      <c r="T4" s="3" t="inlineStr">
        <is>
          <t>Very practical hardware employer.</t>
        </is>
      </c>
    </row>
    <row r="5" ht="39.6" customHeight="1">
      <c r="A5" s="3" t="inlineStr">
        <is>
          <t>Chicago</t>
        </is>
      </c>
      <c r="B5" s="3" t="inlineStr">
        <is>
          <t>Shure</t>
        </is>
      </c>
      <c r="C5" s="3" t="inlineStr">
        <is>
          <t>Niles, IL</t>
        </is>
      </c>
      <c r="D5" s="3" t="inlineStr">
        <is>
          <t>Audio electronics / wireless / embedded / firmware</t>
        </is>
      </c>
      <c r="E5" s="3" t="inlineStr">
        <is>
          <t>Niles-based audio electronics company with careers and internship programs; products include wireless systems and collaboration/audio technology.</t>
        </is>
      </c>
      <c r="F5" s="3" t="inlineStr">
        <is>
          <t>Good fit for embedded firmware, digital audio, RF/wireless, signal processing, test, and hardware-software product work.</t>
        </is>
      </c>
      <c r="G5" s="3" t="n">
        <v>4</v>
      </c>
      <c r="H5" s="3" t="n">
        <v>4</v>
      </c>
      <c r="I5" s="7">
        <f>G5+H5</f>
        <v/>
      </c>
      <c r="J5" s="3" t="inlineStr">
        <is>
          <t>https://www.shure.com/</t>
        </is>
      </c>
      <c r="K5" s="3" t="inlineStr">
        <is>
          <t>https://www.shure.com/en-us/careers</t>
        </is>
      </c>
      <c r="L5" s="3" t="inlineStr">
        <is>
          <t>https://www.shure.com/en-us/careers</t>
        </is>
      </c>
      <c r="M5" s="3" t="inlineStr">
        <is>
          <t>https://www.shure.com/en-us/careers/internships</t>
        </is>
      </c>
      <c r="N5" s="3" t="inlineStr">
        <is>
          <t>Search internships/open roles for firmware, embedded, DSP, RF, electrical, test; tailor outreach to audio + signal systems.</t>
        </is>
      </c>
      <c r="O5" s="3" t="inlineStr">
        <is>
          <t>No internship opportunities</t>
        </is>
      </c>
      <c r="P5" s="6" t="n">
        <v>46255</v>
      </c>
      <c r="Q5" s="6" t="n"/>
      <c r="R5" s="3" t="inlineStr">
        <is>
          <t>firmware, embedded, DSP, RF, wireless, electrical engineer, test</t>
        </is>
      </c>
      <c r="S5" s="3" t="inlineStr">
        <is>
          <t>Firmware/electrical engineer or university recruiter</t>
        </is>
      </c>
      <c r="T5" s="3" t="inlineStr">
        <is>
          <t>More product-electronics than semiconductor, but high quality.</t>
        </is>
      </c>
    </row>
    <row r="6" ht="52.7" customHeight="1">
      <c r="A6" s="3" t="inlineStr">
        <is>
          <t>Chicago</t>
        </is>
      </c>
      <c r="B6" s="3" t="inlineStr">
        <is>
          <t>Zebra Technologies</t>
        </is>
      </c>
      <c r="C6" s="3" t="inlineStr">
        <is>
          <t>Lincolnshire, IL</t>
        </is>
      </c>
      <c r="D6" s="3" t="inlineStr">
        <is>
          <t>Enterprise hardware / mobile computing / barcode/RFID / intelligent operations</t>
        </is>
      </c>
      <c r="E6" s="3" t="inlineStr">
        <is>
          <t>Chicago-area hardware/software company with intelligent operations products across retail, healthcare, manufacturing, logistics, and field operations.</t>
        </is>
      </c>
      <c r="F6" s="3" t="inlineStr">
        <is>
          <t>Useful for embedded devices, mobile hardware, RFID/scanning, Android/Linux systems, firmware, test, and hardware/software integration.</t>
        </is>
      </c>
      <c r="G6" s="3" t="n">
        <v>4</v>
      </c>
      <c r="H6" s="3" t="n">
        <v>3</v>
      </c>
      <c r="I6" s="7">
        <f>G6+H6</f>
        <v/>
      </c>
      <c r="J6" s="3" t="inlineStr">
        <is>
          <t>https://www.zebra.com/us/en.html</t>
        </is>
      </c>
      <c r="K6" s="3" t="inlineStr">
        <is>
          <t>https://www.zebra.com/us/en/about-zebra/careers.html</t>
        </is>
      </c>
      <c r="L6" s="3" t="inlineStr">
        <is>
          <t>https://www.zebra.com/us/en/about-zebra/careers.html</t>
        </is>
      </c>
      <c r="M6" s="3" t="inlineStr">
        <is>
          <t>https://careers.zebra.com/careers?domain=zebra.com&amp;query=%2A</t>
        </is>
      </c>
      <c r="N6" s="3" t="inlineStr">
        <is>
          <t>Search Lincolnshire for firmware, embedded, hardware test, Linux, mobile computing, RFID/scanner roles.</t>
        </is>
      </c>
      <c r="O6" s="3" t="inlineStr">
        <is>
          <t>Not contacted</t>
        </is>
      </c>
      <c r="P6" s="6" t="n"/>
      <c r="Q6" s="6" t="n"/>
      <c r="R6" s="3" t="inlineStr">
        <is>
          <t>embedded, firmware, Linux, Android, RFID, barcode, hardware test</t>
        </is>
      </c>
      <c r="S6" s="3" t="inlineStr">
        <is>
          <t>Embedded/hardware engineer or product recruiter</t>
        </is>
      </c>
      <c r="T6" s="3" t="inlineStr">
        <is>
          <t>Good hardware-software systems company.</t>
        </is>
      </c>
    </row>
    <row r="7" ht="39.6" customHeight="1">
      <c r="A7" s="3" t="inlineStr">
        <is>
          <t>Chicago</t>
        </is>
      </c>
      <c r="B7" s="3" t="inlineStr">
        <is>
          <t>S&amp;C Electric Company</t>
        </is>
      </c>
      <c r="C7" s="3" t="inlineStr">
        <is>
          <t>Chicago, IL</t>
        </is>
      </c>
      <c r="D7" s="3" t="inlineStr">
        <is>
          <t>Power grid hardware / controls / firmware / automation</t>
        </is>
      </c>
      <c r="E7" s="3" t="inlineStr">
        <is>
          <t>Chicago-based grid equipment company with official careers page and engineering/product roles.</t>
        </is>
      </c>
      <c r="F7" s="3" t="inlineStr">
        <is>
          <t>Relevant if you want controls, power electronics, protection systems, firmware, FPGA-adjacent industrial electronics, and fieldable hardware.</t>
        </is>
      </c>
      <c r="G7" s="3" t="n">
        <v>4</v>
      </c>
      <c r="H7" s="3" t="n">
        <v>3</v>
      </c>
      <c r="I7" s="7">
        <f>G7+H7</f>
        <v/>
      </c>
      <c r="J7" s="3" t="inlineStr">
        <is>
          <t>https://www.sandc.com/</t>
        </is>
      </c>
      <c r="K7" s="3" t="inlineStr">
        <is>
          <t>https://www.sandc.com/en/careers/</t>
        </is>
      </c>
      <c r="L7" s="3" t="inlineStr">
        <is>
          <t>https://www.sandc.com/en/careers/</t>
        </is>
      </c>
      <c r="M7" s="3" t="inlineStr">
        <is>
          <t>https://www.sandc.com/</t>
        </is>
      </c>
      <c r="N7" s="3" t="inlineStr">
        <is>
          <t>Search firmware, controls, electrical designer, protection systems, power electronics; message engineers in automation or product development.</t>
        </is>
      </c>
      <c r="O7" s="3" t="inlineStr">
        <is>
          <t>Not contacted</t>
        </is>
      </c>
      <c r="P7" s="6" t="n"/>
      <c r="Q7" s="6" t="n"/>
      <c r="R7" s="3" t="inlineStr">
        <is>
          <t>firmware, controls, power electronics, electrical, FPGA, protection systems</t>
        </is>
      </c>
      <c r="S7" s="3" t="inlineStr">
        <is>
          <t>Product development/firmware engineer</t>
        </is>
      </c>
      <c r="T7" s="3" t="inlineStr">
        <is>
          <t>Harder industrial path but real hardware.</t>
        </is>
      </c>
    </row>
    <row r="8" ht="39.6" customHeight="1">
      <c r="A8" s="3" t="inlineStr">
        <is>
          <t>Chicago</t>
        </is>
      </c>
      <c r="B8" s="3" t="inlineStr">
        <is>
          <t>Littelfuse</t>
        </is>
      </c>
      <c r="C8" s="3" t="inlineStr">
        <is>
          <t>Chicago, IL</t>
        </is>
      </c>
      <c r="D8" s="3" t="inlineStr">
        <is>
          <t>Circuit protection / power control / sensors / semiconductors</t>
        </is>
      </c>
      <c r="E8" s="3" t="inlineStr">
        <is>
          <t>Produces fuses, relays, semiconductors, switches, sensors, and power/protection components.</t>
        </is>
      </c>
      <c r="F8" s="3" t="inlineStr">
        <is>
          <t>Good chip-adjacent target for power semiconductor, sensing, applications engineering, validation, and product engineering.</t>
        </is>
      </c>
      <c r="G8" s="3" t="n">
        <v>4</v>
      </c>
      <c r="H8" s="3" t="n">
        <v>3</v>
      </c>
      <c r="I8" s="7">
        <f>G8+H8</f>
        <v/>
      </c>
      <c r="J8" s="3" t="inlineStr">
        <is>
          <t>https://www.littelfuse.com/</t>
        </is>
      </c>
      <c r="K8" s="3" t="inlineStr">
        <is>
          <t>https://www.littelfuse.com/company/careers</t>
        </is>
      </c>
      <c r="L8" s="3" t="inlineStr">
        <is>
          <t>https://www.littelfuse.com/products</t>
        </is>
      </c>
      <c r="M8" s="3" t="inlineStr">
        <is>
          <t>https://www.littelfuse.com/</t>
        </is>
      </c>
      <c r="N8" s="3" t="inlineStr">
        <is>
          <t>Search semiconductors, sensors, power electronics, product/applications engineering; reach out around power/control interests.</t>
        </is>
      </c>
      <c r="O8" s="3" t="inlineStr">
        <is>
          <t>Not contacted</t>
        </is>
      </c>
      <c r="P8" s="6" t="n"/>
      <c r="Q8" s="6" t="n"/>
      <c r="R8" s="3" t="inlineStr">
        <is>
          <t>power electronics, semiconductor, sensors, applications engineering, validation</t>
        </is>
      </c>
      <c r="S8" s="3" t="inlineStr">
        <is>
          <t>Applications/product engineer</t>
        </is>
      </c>
      <c r="T8" s="3" t="inlineStr">
        <is>
          <t>Closer to components than systems; still relevant.</t>
        </is>
      </c>
    </row>
    <row r="9" ht="39.6" customHeight="1">
      <c r="A9" s="3" t="inlineStr">
        <is>
          <t>Chicago</t>
        </is>
      </c>
      <c r="B9" s="3" t="inlineStr">
        <is>
          <t>Argonne National Laboratory</t>
        </is>
      </c>
      <c r="C9" s="3" t="inlineStr">
        <is>
          <t>Lemont, IL</t>
        </is>
      </c>
      <c r="D9" s="3" t="inlineStr">
        <is>
          <t>National lab / quantum / microelectronics / advanced computing</t>
        </is>
      </c>
      <c r="E9" s="3" t="inlineStr">
        <is>
          <t>Argonne offers careers and undergraduate research opportunities in a cutting-edge research environment, including quantum information science.</t>
        </is>
      </c>
      <c r="F9" s="3" t="inlineStr">
        <is>
          <t>Strong if you want photonics/quantum/computing-adjacent research exposure and serious lab credibility.</t>
        </is>
      </c>
      <c r="G9" s="3" t="n">
        <v>4</v>
      </c>
      <c r="H9" s="3" t="n">
        <v>4</v>
      </c>
      <c r="I9" s="7">
        <f>G9+H9</f>
        <v/>
      </c>
      <c r="J9" s="3" t="inlineStr">
        <is>
          <t>https://www.anl.gov/</t>
        </is>
      </c>
      <c r="K9" s="3" t="inlineStr">
        <is>
          <t>https://www.anl.gov/hr/careers</t>
        </is>
      </c>
      <c r="L9" s="3" t="inlineStr">
        <is>
          <t>https://www.anl.gov/education/undergraduate-internship-opportunities</t>
        </is>
      </c>
      <c r="M9" s="3" t="inlineStr">
        <is>
          <t>https://www.anl.gov/quantum/qis-opportunities</t>
        </is>
      </c>
      <c r="N9" s="3" t="inlineStr">
        <is>
          <t>Track undergraduate internships and temporary roles; message researchers after reading a specific project page.</t>
        </is>
      </c>
      <c r="O9" s="3" t="inlineStr">
        <is>
          <t>Not contacted</t>
        </is>
      </c>
      <c r="P9" s="6" t="n"/>
      <c r="Q9" s="6" t="n"/>
      <c r="R9" s="3" t="inlineStr">
        <is>
          <t>quantum, microelectronics, photonics, computing, undergraduate internship, electronics</t>
        </is>
      </c>
      <c r="S9" s="3" t="inlineStr">
        <is>
          <t>Researcher, staff engineer, or internship coordinator</t>
        </is>
      </c>
      <c r="T9" s="3" t="inlineStr">
        <is>
          <t>Best as research/networking target.</t>
        </is>
      </c>
    </row>
    <row r="10" ht="39.6" customHeight="1">
      <c r="A10" s="3" t="inlineStr">
        <is>
          <t>Chicago</t>
        </is>
      </c>
      <c r="B10" s="3" t="inlineStr">
        <is>
          <t>Fermilab</t>
        </is>
      </c>
      <c r="C10" s="3" t="inlineStr">
        <is>
          <t>Batavia, IL</t>
        </is>
      </c>
      <c r="D10" s="3" t="inlineStr">
        <is>
          <t>Particle physics lab / accelerator electronics / controls / instrumentation</t>
        </is>
      </c>
      <c r="E10" s="3" t="inlineStr">
        <is>
          <t>Fermilab builds and operates accelerator and detector facilities and has engineering, technology, computing, technical, and student programs.</t>
        </is>
      </c>
      <c r="F10" s="3" t="inlineStr">
        <is>
          <t>Good for electronics, controls, real-time systems, instrumentation, RF, scientific computing, and hardware-software integration.</t>
        </is>
      </c>
      <c r="G10" s="3" t="n">
        <v>4</v>
      </c>
      <c r="H10" s="3" t="n">
        <v>4</v>
      </c>
      <c r="I10" s="7">
        <f>G10+H10</f>
        <v/>
      </c>
      <c r="J10" s="3" t="inlineStr">
        <is>
          <t>https://www.fnal.gov/</t>
        </is>
      </c>
      <c r="K10" s="3" t="inlineStr">
        <is>
          <t>https://jobs.fnal.gov/</t>
        </is>
      </c>
      <c r="L10" s="3" t="inlineStr">
        <is>
          <t>https://jobs.fnal.gov/</t>
        </is>
      </c>
      <c r="M10" s="3" t="inlineStr">
        <is>
          <t>https://news.fnal.gov/2025/07/fermilab-partners-with-community-colleges-to-develop-technical-talent/</t>
        </is>
      </c>
      <c r="N10" s="3" t="inlineStr">
        <is>
          <t>Search student, electronics, controls, accelerator, detector, software, technician/engineering paths.</t>
        </is>
      </c>
      <c r="O10" s="3" t="inlineStr">
        <is>
          <t>Not contacted</t>
        </is>
      </c>
      <c r="P10" s="6" t="n">
        <v>46253</v>
      </c>
      <c r="Q10" s="6" t="n"/>
      <c r="R10" s="3" t="inlineStr">
        <is>
          <t>electronics, controls, instrumentation, RF, detector, accelerator, real-time systems</t>
        </is>
      </c>
      <c r="S10" s="3" t="inlineStr">
        <is>
          <t>Engineer or student-program contact</t>
        </is>
      </c>
      <c r="T10" s="3" t="inlineStr">
        <is>
          <t>Good bridge between ECE and physics.</t>
        </is>
      </c>
      <c r="U10" t="inlineStr">
        <is>
          <t>APPLIED FOR JR. ASIC ENGINEER ROLE</t>
        </is>
      </c>
    </row>
    <row r="11" ht="39.6" customHeight="1">
      <c r="A11" s="3" t="inlineStr">
        <is>
          <t>Chicago</t>
        </is>
      </c>
      <c r="B11" s="3" t="inlineStr">
        <is>
          <t>Chamberlain Group</t>
        </is>
      </c>
      <c r="C11" s="3" t="inlineStr">
        <is>
          <t>Oak Brook / Elmhurst, IL</t>
        </is>
      </c>
      <c r="D11" s="3" t="inlineStr">
        <is>
          <t>Smart access / IoT / firmware / mobile + cloud</t>
        </is>
      </c>
      <c r="E11" s="3" t="inlineStr">
        <is>
          <t>Global intelligent access company powered by myQ with official careers page and local hybrid roles.</t>
        </is>
      </c>
      <c r="F11" s="3" t="inlineStr">
        <is>
          <t>Good product-company path for firmware, embedded, IoT devices, mobile/cloud integration, test, and product systems.</t>
        </is>
      </c>
      <c r="G11" s="3" t="n">
        <v>4</v>
      </c>
      <c r="H11" s="3" t="n">
        <v>4</v>
      </c>
      <c r="I11" s="7">
        <f>G11+H11</f>
        <v/>
      </c>
      <c r="J11" s="3" t="inlineStr">
        <is>
          <t>https://chamberlaingroup.com/</t>
        </is>
      </c>
      <c r="K11" s="3" t="inlineStr">
        <is>
          <t>https://chamberlain.wd1.myworkdayjobs.com/Chamberlain_Group</t>
        </is>
      </c>
      <c r="L11" s="3" t="inlineStr">
        <is>
          <t>https://chamberlaingroup.com/careers</t>
        </is>
      </c>
      <c r="M11" s="3" t="inlineStr">
        <is>
          <t>https://chamberlaingroup.com/</t>
        </is>
      </c>
      <c r="N11" s="3" t="inlineStr">
        <is>
          <t>Search firmware, hardware test, embedded, IoT, QA, mobile; mention interest in connected product systems.</t>
        </is>
      </c>
      <c r="O11" s="3" t="inlineStr">
        <is>
          <t>Not contacted</t>
        </is>
      </c>
      <c r="P11" s="6" t="n"/>
      <c r="Q11" s="6" t="n"/>
      <c r="R11" s="3" t="inlineStr">
        <is>
          <t>firmware, embedded, IoT, hardware test, mobile, myQ</t>
        </is>
      </c>
      <c r="S11" s="3" t="inlineStr">
        <is>
          <t>Firmware or hardware test engineer</t>
        </is>
      </c>
      <c r="T11" s="3" t="inlineStr">
        <is>
          <t>Good if you want practical connected-products work.</t>
        </is>
      </c>
    </row>
    <row r="12" ht="39.6" customHeight="1">
      <c r="A12" s="3" t="inlineStr">
        <is>
          <t>Chicago</t>
        </is>
      </c>
      <c r="B12" s="3" t="inlineStr">
        <is>
          <t>Panduit</t>
        </is>
      </c>
      <c r="C12" s="3" t="inlineStr">
        <is>
          <t>Tinley Park, IL</t>
        </is>
      </c>
      <c r="D12" s="3" t="inlineStr">
        <is>
          <t>Electrical/network infrastructure / industrial wiring / connectivity</t>
        </is>
      </c>
      <c r="E12" s="3" t="inlineStr">
        <is>
          <t>Develops network infrastructure and industrial electrical wiring solutions from the data center to the plant floor.</t>
        </is>
      </c>
      <c r="F12" s="3" t="inlineStr">
        <is>
          <t>Chip-adjacent rather than chip-core; useful for industrial infrastructure, fiber, physical network products, test, and product engineering.</t>
        </is>
      </c>
      <c r="G12" s="3" t="n">
        <v>3</v>
      </c>
      <c r="H12" s="3" t="n">
        <v>3</v>
      </c>
      <c r="I12" s="7">
        <f>G12+H12</f>
        <v/>
      </c>
      <c r="J12" s="3" t="inlineStr">
        <is>
          <t>https://www.panduit.com/</t>
        </is>
      </c>
      <c r="K12" s="3" t="inlineStr">
        <is>
          <t>https://www.panduit.com/en/about/careers.html</t>
        </is>
      </c>
      <c r="L12" s="3" t="inlineStr">
        <is>
          <t>https://www.panduit.com/en/about/about-panduit.html</t>
        </is>
      </c>
      <c r="M12" s="3" t="inlineStr">
        <is>
          <t>https://www.panduit.com/en/about/media-resources/panduit-announces-key-executive-appointments.html</t>
        </is>
      </c>
      <c r="N12" s="3" t="inlineStr">
        <is>
          <t>Search product/electrical/test roles; message product engineers if you find fiber/connectivity overlap.</t>
        </is>
      </c>
      <c r="O12" s="3" t="inlineStr">
        <is>
          <t>no internships</t>
        </is>
      </c>
      <c r="P12" s="6" t="n">
        <v>46255</v>
      </c>
      <c r="Q12" s="6" t="n"/>
      <c r="R12" s="3" t="inlineStr">
        <is>
          <t>electrical, product engineer, fiber, network infrastructure, test</t>
        </is>
      </c>
      <c r="S12" s="3" t="inlineStr">
        <is>
          <t>Product/electrical engineer</t>
        </is>
      </c>
      <c r="T12" s="3" t="inlineStr">
        <is>
          <t>Secondary Chicago target.</t>
        </is>
      </c>
    </row>
    <row r="13" ht="39.6" customHeight="1">
      <c r="A13" s="3" t="inlineStr">
        <is>
          <t>Chicago</t>
        </is>
      </c>
      <c r="B13" s="3" t="inlineStr">
        <is>
          <t>UL Solutions</t>
        </is>
      </c>
      <c r="C13" s="3" t="inlineStr">
        <is>
          <t>Northbrook, IL</t>
        </is>
      </c>
      <c r="D13" s="3" t="inlineStr">
        <is>
          <t>Electronics safety / EMC / wireless testing / certification</t>
        </is>
      </c>
      <c r="E13" s="3" t="inlineStr">
        <is>
          <t>Northbrook facility provides EMC and wireless testing for consumer and industrial electronics, medical devices, appliances, and lighting.</t>
        </is>
      </c>
      <c r="F13" s="3" t="inlineStr">
        <is>
          <t>Good entry point into test engineering, compliance, EMC, RF/wireless lab work, and product validation.</t>
        </is>
      </c>
      <c r="G13" s="3" t="n">
        <v>3</v>
      </c>
      <c r="H13" s="3" t="n">
        <v>4</v>
      </c>
      <c r="I13" s="7">
        <f>G13+H13</f>
        <v/>
      </c>
      <c r="J13" s="3" t="inlineStr">
        <is>
          <t>https://www.ul.com/</t>
        </is>
      </c>
      <c r="K13" s="3" t="inlineStr">
        <is>
          <t>https://www.ul.com/careers</t>
        </is>
      </c>
      <c r="L13" s="3" t="inlineStr">
        <is>
          <t>https://www.ul.com/careers/internship</t>
        </is>
      </c>
      <c r="M13" s="3" t="inlineStr">
        <is>
          <t>https://www.ul.com/resources/northbrook-il-emc-and-wireless-laboratory</t>
        </is>
      </c>
      <c r="N13" s="3" t="inlineStr">
        <is>
          <t>Search Northbrook for lab engineer, EMC, wireless, electrical, certification, test; use it as validation/test pathway.</t>
        </is>
      </c>
      <c r="O13" s="3" t="inlineStr">
        <is>
          <t>Not contacted</t>
        </is>
      </c>
      <c r="P13" s="6" t="n"/>
      <c r="Q13" s="6" t="n"/>
      <c r="R13" s="3" t="inlineStr">
        <is>
          <t>EMC, wireless, test engineer, electrical, compliance, validation</t>
        </is>
      </c>
      <c r="S13" s="3" t="inlineStr">
        <is>
          <t>Lab/test engineer or early-careers recruiter</t>
        </is>
      </c>
      <c r="T13" s="3" t="inlineStr">
        <is>
          <t>Not design-heavy but excellent test credential.</t>
        </is>
      </c>
    </row>
    <row r="14" ht="39.6" customHeight="1">
      <c r="A14" s="3" t="inlineStr">
        <is>
          <t>Chicago</t>
        </is>
      </c>
      <c r="B14" s="3" t="inlineStr">
        <is>
          <t>mHUB</t>
        </is>
      </c>
      <c r="C14" s="3" t="inlineStr">
        <is>
          <t>Chicago, IL</t>
        </is>
      </c>
      <c r="D14" s="3" t="inlineStr">
        <is>
          <t>HardTech incubator / startup network / prototyping</t>
        </is>
      </c>
      <c r="E14" s="3" t="inlineStr">
        <is>
          <t>Chicago hardtech hub with prototyping labs, industry partnerships, and member-company career opportunities.</t>
        </is>
      </c>
      <c r="F14" s="3" t="inlineStr">
        <is>
          <t>Best ecosystem/networking target for finding small hardware startups before they post traditional roles.</t>
        </is>
      </c>
      <c r="G14" s="3" t="n">
        <v>3</v>
      </c>
      <c r="H14" s="3" t="n">
        <v>5</v>
      </c>
      <c r="I14" s="7">
        <f>G14+H14</f>
        <v/>
      </c>
      <c r="J14" s="3" t="inlineStr">
        <is>
          <t>https://mhub.org/</t>
        </is>
      </c>
      <c r="K14" s="3" t="inlineStr">
        <is>
          <t>https://www.mhubchicago.com/careers/tag/member-company-career</t>
        </is>
      </c>
      <c r="L14" s="3" t="inlineStr">
        <is>
          <t>https://mhub.org/</t>
        </is>
      </c>
      <c r="M14" s="3" t="inlineStr">
        <is>
          <t>https://www.mhubchicago.com/careers/tag/member-company-career</t>
        </is>
      </c>
      <c r="N14" s="3" t="inlineStr">
        <is>
          <t>Monitor member-company roles; attend events; ask who is building electronics, robotics, sensing, IoT, or energy hardware.</t>
        </is>
      </c>
      <c r="O14" s="3" t="inlineStr">
        <is>
          <t>Not contacted</t>
        </is>
      </c>
      <c r="P14" s="6" t="n"/>
      <c r="Q14" s="6" t="n"/>
      <c r="R14" s="3" t="inlineStr">
        <is>
          <t>hardtech, electronics, robotics, sensing, IoT, prototyping, startup</t>
        </is>
      </c>
      <c r="S14" s="3" t="inlineStr">
        <is>
          <t>Member-company founder or program manager</t>
        </is>
      </c>
      <c r="T14" s="3" t="inlineStr">
        <is>
          <t>High-leverage networking board.</t>
        </is>
      </c>
    </row>
    <row r="15" ht="39.6" customHeight="1">
      <c r="A15" s="3" t="inlineStr">
        <is>
          <t>Chicago</t>
        </is>
      </c>
      <c r="B15" s="3" t="inlineStr">
        <is>
          <t>Wabtec</t>
        </is>
      </c>
      <c r="C15" s="3" t="inlineStr">
        <is>
          <t>Buffalo Grove, IL</t>
        </is>
      </c>
      <c r="D15" s="3" t="inlineStr">
        <is>
          <t>Transportation systems / rail electronics / embedded software</t>
        </is>
      </c>
      <c r="E15" s="3" t="inlineStr">
        <is>
          <t>Wabtec has had Buffalo Grove embedded and manufacturing engineering roles; official careers page lists engineering/software/system roles.</t>
        </is>
      </c>
      <c r="F15" s="3" t="inlineStr">
        <is>
          <t>Worth tracking for embedded software, rail/transit systems, test, manufacturing engineering, and safety-critical product work.</t>
        </is>
      </c>
      <c r="G15" s="3" t="n">
        <v>3</v>
      </c>
      <c r="H15" s="3" t="n">
        <v>3</v>
      </c>
      <c r="I15" s="7">
        <f>G15+H15</f>
        <v/>
      </c>
      <c r="J15" s="3" t="inlineStr">
        <is>
          <t>https://www.wabteccorp.com/</t>
        </is>
      </c>
      <c r="K15" s="3" t="inlineStr">
        <is>
          <t>https://careers.wabtec.com/</t>
        </is>
      </c>
      <c r="L15" s="3" t="inlineStr">
        <is>
          <t>https://careers.wabtec.com/</t>
        </is>
      </c>
      <c r="M15" s="3" t="inlineStr">
        <is>
          <t>https://www.wabteccorp.com/hiring</t>
        </is>
      </c>
      <c r="N15" s="3" t="inlineStr">
        <is>
          <t>Search Buffalo Grove for embedded/software/test/manufacturing engineer; secondary but real systems work.</t>
        </is>
      </c>
      <c r="O15" s="3" t="inlineStr">
        <is>
          <t>Not contacted</t>
        </is>
      </c>
      <c r="P15" s="6" t="n">
        <v>46253</v>
      </c>
      <c r="Q15" s="6" t="n"/>
      <c r="R15" s="3" t="inlineStr">
        <is>
          <t>embedded, manufacturing engineer, systems engineer, rail, test</t>
        </is>
      </c>
      <c r="S15" s="3" t="inlineStr">
        <is>
          <t>Engineering recruiter or product engineer</t>
        </is>
      </c>
      <c r="T15" s="3" t="inlineStr">
        <is>
          <t>Secondary Chicago-area systems target.</t>
        </is>
      </c>
    </row>
    <row r="16" ht="52.7" customHeight="1">
      <c r="A16" s="3" t="inlineStr">
        <is>
          <t>Milwaukee</t>
        </is>
      </c>
      <c r="B16" s="3" t="inlineStr">
        <is>
          <t>Rockwell Automation</t>
        </is>
      </c>
      <c r="C16" s="3" t="inlineStr">
        <is>
          <t>Milwaukee / Mequon, WI</t>
        </is>
      </c>
      <c r="D16" s="3" t="inlineStr">
        <is>
          <t>Industrial automation / controls / hardware + software</t>
        </is>
      </c>
      <c r="E16" s="3" t="inlineStr">
        <is>
          <t>Global industrial automation and digital transformation company with careers and student programs; job board shows Milwaukee/Mequon hardware engineering signals.</t>
        </is>
      </c>
      <c r="F16" s="3" t="inlineStr">
        <is>
          <t>Probably the single strongest Milwaukee target for controls, embedded, hardware, firmware, industrial networks, and systems engineering.</t>
        </is>
      </c>
      <c r="G16" s="3" t="n">
        <v>5</v>
      </c>
      <c r="H16" s="3" t="n">
        <v>5</v>
      </c>
      <c r="I16" s="7">
        <f>G16+H16</f>
        <v/>
      </c>
      <c r="J16" s="3" t="inlineStr">
        <is>
          <t>https://www.rockwellautomation.com/en-us.html</t>
        </is>
      </c>
      <c r="K16" s="3" t="inlineStr">
        <is>
          <t>https://www.rockwellautomation.com/en-us/careers.html</t>
        </is>
      </c>
      <c r="L16" s="3" t="inlineStr">
        <is>
          <t>https://jobs.rockwellautomation.com/</t>
        </is>
      </c>
      <c r="M16" s="3" t="inlineStr">
        <is>
          <t>https://www.rockwellautomation.com/en-gb/careers/edge-student-early-career/edge-student-programs.html</t>
        </is>
      </c>
      <c r="N16" s="3" t="inlineStr">
        <is>
          <t>Search hardware, firmware, controls, embedded, Mequon/Milwaukee; apply and message UW/MSOE-connected engineers.</t>
        </is>
      </c>
      <c r="O16" s="3" t="inlineStr">
        <is>
          <t>Not contacted</t>
        </is>
      </c>
      <c r="P16" s="21" t="n">
        <v>46272</v>
      </c>
      <c r="Q16" s="6" t="n"/>
      <c r="R16" s="3" t="inlineStr">
        <is>
          <t>hardware, firmware, controls, embedded, PLC, industrial automation, verification</t>
        </is>
      </c>
      <c r="S16" s="3" t="inlineStr">
        <is>
          <t>Hardware/controls engineer or campus recruiter</t>
        </is>
      </c>
      <c r="T16" s="3" t="inlineStr">
        <is>
          <t>Core Milwaukee target.</t>
        </is>
      </c>
      <c r="U16" t="inlineStr">
        <is>
          <t>SOFTWARE DEV INTERN APPLIED</t>
        </is>
      </c>
    </row>
    <row r="17" ht="52.7" customHeight="1">
      <c r="A17" s="3" t="inlineStr">
        <is>
          <t>Milwaukee</t>
        </is>
      </c>
      <c r="B17" s="3" t="inlineStr">
        <is>
          <t>Milwaukee Tool</t>
        </is>
      </c>
      <c r="C17" s="3" t="inlineStr">
        <is>
          <t>Brookfield / Milwaukee, WI</t>
        </is>
      </c>
      <c r="D17" s="3" t="inlineStr">
        <is>
          <t>Power tools / embedded electronics / firmware / power electronics</t>
        </is>
      </c>
      <c r="E17" s="3" t="inlineStr">
        <is>
          <t>Electrical engineering roles explicitly include embedded systems, power electronics, motors, firmware, and system engineering; internships are mainly in Brookfield/Milwaukee.</t>
        </is>
      </c>
      <c r="F17" s="3" t="inlineStr">
        <is>
          <t>Elite practical fit for embedded C/C++, motor control, battery systems, power electronics, hardware/firmware integration, and fast product cycles.</t>
        </is>
      </c>
      <c r="G17" s="3" t="n">
        <v>5</v>
      </c>
      <c r="H17" s="3" t="n">
        <v>5</v>
      </c>
      <c r="I17" s="7">
        <f>G17+H17</f>
        <v/>
      </c>
      <c r="J17" s="3" t="inlineStr">
        <is>
          <t>https://www.milwaukeetool.com/</t>
        </is>
      </c>
      <c r="K17" s="3" t="inlineStr">
        <is>
          <t>https://www.milwaukeetool.jobs/</t>
        </is>
      </c>
      <c r="L17" s="3" t="inlineStr">
        <is>
          <t>https://www.milwaukeetool.jobs/career-areas/engineering/electrical-engineering</t>
        </is>
      </c>
      <c r="M17" s="3" t="inlineStr">
        <is>
          <t>https://www.milwaukeetool.jobs/GradsAndInterns/Internships</t>
        </is>
      </c>
      <c r="N17" s="3" t="inlineStr">
        <is>
          <t>Search firmware, embedded, motor control, electrical, battery, test automation; send project-focused outreach.</t>
        </is>
      </c>
      <c r="O17" s="3" t="inlineStr">
        <is>
          <t>Not contacted</t>
        </is>
      </c>
      <c r="P17" s="6" t="n">
        <v>46239</v>
      </c>
      <c r="Q17" s="6" t="n"/>
      <c r="R17" s="3" t="inlineStr">
        <is>
          <t>embedded C/C++, firmware, motor control, power electronics, battery, electrical, test automation</t>
        </is>
      </c>
      <c r="S17" s="3" t="inlineStr">
        <is>
          <t>Firmware/electrical engineer or early-careers recruiter</t>
        </is>
      </c>
      <c r="T17" s="3" t="inlineStr">
        <is>
          <t>Core Milwaukee target. No pertinent position on website.</t>
        </is>
      </c>
    </row>
    <row r="18" ht="39.6" customHeight="1">
      <c r="A18" s="3" t="inlineStr">
        <is>
          <t>Milwaukee</t>
        </is>
      </c>
      <c r="B18" s="3" t="inlineStr">
        <is>
          <t>GE HealthCare</t>
        </is>
      </c>
      <c r="C18" s="3" t="inlineStr">
        <is>
          <t>Waukesha / West Milwaukee, WI</t>
        </is>
      </c>
      <c r="D18" s="3" t="inlineStr">
        <is>
          <t>Medical imaging / detectors / software + hardware systems</t>
        </is>
      </c>
      <c r="E18" s="3" t="inlineStr">
        <is>
          <t>GE HealthCare has engineering/technology and early-career funnels with Wisconsin imaging/manufacturing signals.</t>
        </is>
      </c>
      <c r="F18" s="3" t="inlineStr">
        <is>
          <t>Good systems employer for medical imaging, detector hardware, image processing, software, manufacturing engineering, and regulated product development.</t>
        </is>
      </c>
      <c r="G18" s="3" t="n">
        <v>4</v>
      </c>
      <c r="H18" s="3" t="n">
        <v>4</v>
      </c>
      <c r="I18" s="7">
        <f>G18+H18</f>
        <v/>
      </c>
      <c r="J18" s="3" t="inlineStr">
        <is>
          <t>https://www.gehealthcare.com/</t>
        </is>
      </c>
      <c r="K18" s="3" t="inlineStr">
        <is>
          <t>https://careers.gehealthcare.com/</t>
        </is>
      </c>
      <c r="L18" s="3" t="inlineStr">
        <is>
          <t>https://careers.gehealthcare.com/global/en/c/engineering-technology-jobs</t>
        </is>
      </c>
      <c r="M18" s="3" t="inlineStr">
        <is>
          <t>https://careers.gehealthcare.com/global/en/entry-level-opportunities</t>
        </is>
      </c>
      <c r="N18" s="3" t="inlineStr">
        <is>
          <t>Search Waukesha/West Milwaukee for engineering, imaging, detector, software, manufacturing, quality/test.</t>
        </is>
      </c>
      <c r="O18" s="3" t="inlineStr">
        <is>
          <t>Not contacted</t>
        </is>
      </c>
      <c r="P18" s="6" t="n">
        <v>46239</v>
      </c>
      <c r="Q18" s="6" t="n"/>
      <c r="R18" s="3" t="inlineStr">
        <is>
          <t>medical imaging, software, detector, manufacturing engineer, test, regulated systems</t>
        </is>
      </c>
      <c r="S18" s="3" t="inlineStr">
        <is>
          <t>Engineering recruiter or imaging systems engineer</t>
        </is>
      </c>
      <c r="T18" s="3" t="inlineStr">
        <is>
          <t>Strong if you want serious systems + software. No pertinent position on website.</t>
        </is>
      </c>
    </row>
    <row r="19" ht="52.7" customHeight="1">
      <c r="A19" s="3" t="inlineStr">
        <is>
          <t>Milwaukee</t>
        </is>
      </c>
      <c r="B19" s="3" t="inlineStr">
        <is>
          <t>Leonardo DRS Naval Power Systems</t>
        </is>
      </c>
      <c r="C19" s="3" t="inlineStr">
        <is>
          <t>Menomonee Falls, WI</t>
        </is>
      </c>
      <c r="D19" s="3" t="inlineStr">
        <is>
          <t>Defense power systems / motor controls / automation / embedded</t>
        </is>
      </c>
      <c r="E19" s="3" t="inlineStr">
        <is>
          <t>Menomonee Falls site houses design, test, and manufacturing for naval power distribution, power conversion, motor controls, drives, and automation/control equipment.</t>
        </is>
      </c>
      <c r="F19" s="3" t="inlineStr">
        <is>
          <t>Strong fit for power electronics, embedded controls, C/C++, electrical engineering, test, and defense hardware.</t>
        </is>
      </c>
      <c r="G19" s="3" t="n">
        <v>4</v>
      </c>
      <c r="H19" s="3" t="n">
        <v>3</v>
      </c>
      <c r="I19" s="7">
        <f>G19+H19</f>
        <v/>
      </c>
      <c r="J19" s="3" t="inlineStr">
        <is>
          <t>https://www.leonardodrs.com/</t>
        </is>
      </c>
      <c r="K19" s="3" t="inlineStr">
        <is>
          <t>https://careers.leonardodrs.com/</t>
        </is>
      </c>
      <c r="L19" s="3" t="inlineStr">
        <is>
          <t>https://www.leonardodrs.com/locations/naval-power-systems-menomonee-falls-wi/</t>
        </is>
      </c>
      <c r="M19" s="3" t="inlineStr">
        <is>
          <t>https://careers.leonardodrs.com/</t>
        </is>
      </c>
      <c r="N19" s="3" t="inlineStr">
        <is>
          <t>Search Menomonee Falls for software engineer, electrical engineering tech, power conversion, controls; be aware of defense constraints.</t>
        </is>
      </c>
      <c r="O19" s="3" t="inlineStr">
        <is>
          <t>Not contacted</t>
        </is>
      </c>
      <c r="P19" s="6" t="n"/>
      <c r="Q19" s="6" t="n"/>
      <c r="R19" s="3" t="inlineStr">
        <is>
          <t>embedded, C/C++, power conversion, motor controls, drives, automation, electrical</t>
        </is>
      </c>
      <c r="S19" s="3" t="inlineStr">
        <is>
          <t>Engineering recruiter or power systems engineer</t>
        </is>
      </c>
      <c r="T19" s="3" t="inlineStr">
        <is>
          <t>Serious hardware, less student-access friendly.</t>
        </is>
      </c>
    </row>
    <row r="20" ht="39.6" customHeight="1">
      <c r="A20" s="3" t="inlineStr">
        <is>
          <t>Milwaukee</t>
        </is>
      </c>
      <c r="B20" s="3" t="inlineStr">
        <is>
          <t>Astronautics Corporation of America</t>
        </is>
      </c>
      <c r="C20" s="3" t="inlineStr">
        <is>
          <t>Oak Creek / Milwaukee, WI</t>
        </is>
      </c>
      <c r="D20" s="3" t="inlineStr">
        <is>
          <t>Avionics / aerospace electronics / mission systems</t>
        </is>
      </c>
      <c r="E20" s="3" t="inlineStr">
        <is>
          <t>Designs and manufactures avionics solutions including flight deck avionics, connectivity, cybersecurity, mission communications, and software development.</t>
        </is>
      </c>
      <c r="F20" s="3" t="inlineStr">
        <is>
          <t>Excellent path for embedded software, avionics, safety-critical systems, displays, cybersecurity, systems engineering, and verification.</t>
        </is>
      </c>
      <c r="G20" s="3" t="n">
        <v>4</v>
      </c>
      <c r="H20" s="3" t="n">
        <v>4</v>
      </c>
      <c r="I20" s="7">
        <f>G20+H20</f>
        <v/>
      </c>
      <c r="J20" s="3" t="inlineStr">
        <is>
          <t>https://www.astronautics.com/</t>
        </is>
      </c>
      <c r="K20" s="3" t="inlineStr">
        <is>
          <t>https://www.astronautics.com/careers/</t>
        </is>
      </c>
      <c r="L20" s="3" t="inlineStr">
        <is>
          <t>https://www.astronautics.com/careers/</t>
        </is>
      </c>
      <c r="M20" s="3" t="inlineStr">
        <is>
          <t>https://www.astronautics.com/astronautics-achieving-hardware-milestone-for-its-connectivity-solution/</t>
        </is>
      </c>
      <c r="N20" s="3" t="inlineStr">
        <is>
          <t>Search avionics software, systems, cybersecurity, electrical, verification; tailor around safety-critical systems.</t>
        </is>
      </c>
      <c r="O20" s="3" t="inlineStr">
        <is>
          <t>Not contacted</t>
        </is>
      </c>
      <c r="P20" s="6" t="n"/>
      <c r="Q20" s="6" t="n"/>
      <c r="R20" s="3" t="inlineStr">
        <is>
          <t>avionics, embedded software, cybersecurity, systems, displays, verification</t>
        </is>
      </c>
      <c r="S20" s="3" t="inlineStr">
        <is>
          <t>Avionics/software engineer or recruiter</t>
        </is>
      </c>
      <c r="T20" s="3" t="inlineStr">
        <is>
          <t>High-quality Milwaukee-area aerospace target.</t>
        </is>
      </c>
    </row>
    <row r="21" ht="39.6" customHeight="1">
      <c r="A21" s="3" t="inlineStr">
        <is>
          <t>Milwaukee</t>
        </is>
      </c>
      <c r="B21" s="3" t="inlineStr">
        <is>
          <t>Generac</t>
        </is>
      </c>
      <c r="C21" s="22" t="inlineStr">
        <is>
          <t>Reno, NV</t>
        </is>
      </c>
      <c r="D21" s="3" t="inlineStr">
        <is>
          <t>Power systems / embedded controls / firmware / energy tech</t>
        </is>
      </c>
      <c r="E21" s="3" t="inlineStr">
        <is>
          <t>Energy technology company with roles in firmware, controls, power electronics, product compliance, and co-op/intern programs.</t>
        </is>
      </c>
      <c r="F21" s="3" t="inlineStr">
        <is>
          <t>Very strong for embedded controls, firmware, power generation, power electronics, validation, and hardware/software integrated systems.</t>
        </is>
      </c>
      <c r="G21" s="3" t="n">
        <v>4</v>
      </c>
      <c r="H21" s="3" t="n">
        <v>4</v>
      </c>
      <c r="I21" s="7">
        <f>G21+H21</f>
        <v/>
      </c>
      <c r="J21" s="3" t="inlineStr">
        <is>
          <t>https://www.generac.com/</t>
        </is>
      </c>
      <c r="K21" s="3" t="inlineStr">
        <is>
          <t>https://www.generac.com/about/careers/</t>
        </is>
      </c>
      <c r="L21" s="3" t="inlineStr">
        <is>
          <t>https://careers.generac.com/en/jobs/jr13290/firmware-engineer-ii/</t>
        </is>
      </c>
      <c r="M21" s="3" t="inlineStr">
        <is>
          <t>https://careers.generac.com/en/jobs/jr13037/staff-automation-and-validation-engineer/</t>
        </is>
      </c>
      <c r="N21" s="3" t="inlineStr">
        <is>
          <t>Search Waukesha for firmware, controls, validation, power electronics, lab/test, co-op/intern; emphasize real-product interest.</t>
        </is>
      </c>
      <c r="O21" s="3" t="inlineStr">
        <is>
          <t>Not contacted</t>
        </is>
      </c>
      <c r="P21" s="6" t="n">
        <v>46259</v>
      </c>
      <c r="Q21" s="6" t="n"/>
      <c r="R21" s="3" t="inlineStr">
        <is>
          <t>firmware, embedded controls, power electronics, validation, lab test, C/C++</t>
        </is>
      </c>
      <c r="S21" s="3" t="inlineStr">
        <is>
          <t>Firmware/controls engineer or early-careers recruiter</t>
        </is>
      </c>
      <c r="T21" s="3" t="inlineStr">
        <is>
          <t>Strong practical embedded target.</t>
        </is>
      </c>
      <c r="U21" t="inlineStr">
        <is>
          <t>rejected</t>
        </is>
      </c>
    </row>
    <row r="22" ht="39.6" customHeight="1">
      <c r="A22" s="3" t="inlineStr">
        <is>
          <t>Milwaukee</t>
        </is>
      </c>
      <c r="B22" s="3" t="inlineStr">
        <is>
          <t>Johnson Controls</t>
        </is>
      </c>
      <c r="C22" s="3" t="inlineStr">
        <is>
          <t>Glendale / Milwaukee, WI</t>
        </is>
      </c>
      <c r="D22" s="3" t="inlineStr">
        <is>
          <t>Building automation / controls / software / industrial systems</t>
        </is>
      </c>
      <c r="E22" s="3" t="inlineStr">
        <is>
          <t>Careers include early-career tracks and roles around building automation systems, software, controls, and data-center engineering.</t>
        </is>
      </c>
      <c r="F22" s="3" t="inlineStr">
        <is>
          <t>Good fit for controls, BAS/BMS, industrial networking, software, embedded-adjacent systems, and customer-facing systems engineering.</t>
        </is>
      </c>
      <c r="G22" s="3" t="n">
        <v>3</v>
      </c>
      <c r="H22" s="3" t="n">
        <v>5</v>
      </c>
      <c r="I22" s="7">
        <f>G22+H22</f>
        <v/>
      </c>
      <c r="J22" s="3" t="inlineStr">
        <is>
          <t>https://www.johnsoncontrols.com/</t>
        </is>
      </c>
      <c r="K22" s="3" t="inlineStr">
        <is>
          <t>https://jobs.johnsoncontrols.com/</t>
        </is>
      </c>
      <c r="L22" s="3" t="inlineStr">
        <is>
          <t>https://jobs.johnsoncontrols.com/early-careers-north-america</t>
        </is>
      </c>
      <c r="M22" s="3" t="inlineStr">
        <is>
          <t>https://jobs.johnsoncontrols.com/job/WD30270943</t>
        </is>
      </c>
      <c r="N22" s="3" t="inlineStr">
        <is>
          <t>Search Glendale/Milwaukee for controls, BAS, BMS, software, intern/co-op; do not ignore service/application paths.</t>
        </is>
      </c>
      <c r="O22" s="3" t="inlineStr">
        <is>
          <t>Not contacted</t>
        </is>
      </c>
      <c r="P22" s="21" t="n">
        <v>46240</v>
      </c>
      <c r="Q22" s="6" t="n"/>
      <c r="R22" s="3" t="inlineStr">
        <is>
          <t>controls, BAS, BMS, software, systems, automation, intern</t>
        </is>
      </c>
      <c r="S22" s="3" t="inlineStr">
        <is>
          <t>Controls/software engineer or early-careers recruiter</t>
        </is>
      </c>
      <c r="T22" s="3" t="inlineStr">
        <is>
          <t>Very accessible Milwaukee target.</t>
        </is>
      </c>
      <c r="U22" t="inlineStr">
        <is>
          <t>applied for data center software engineering role.</t>
        </is>
      </c>
    </row>
    <row r="23" ht="39.6" customHeight="1">
      <c r="A23" s="3" t="inlineStr">
        <is>
          <t>Milwaukee</t>
        </is>
      </c>
      <c r="B23" s="3" t="inlineStr">
        <is>
          <t>Badger Meter</t>
        </is>
      </c>
      <c r="C23" s="3" t="inlineStr">
        <is>
          <t>Brown Deer / Milwaukee, WI</t>
        </is>
      </c>
      <c r="D23" s="3" t="inlineStr">
        <is>
          <t>Flow measurement / water quality / smart connected infrastructure / IoT</t>
        </is>
      </c>
      <c r="E23" s="3" t="inlineStr">
        <is>
          <t>Milwaukee-area manufacturer of flow measurement, water quality, and control products with IoT/network-connected infrastructure signals.</t>
        </is>
      </c>
      <c r="F23" s="3" t="inlineStr">
        <is>
          <t>Good embedded/IoT/product-systems path through sensors, connectivity, metering, field devices, manufacturing/test, and data-enabled hardware.</t>
        </is>
      </c>
      <c r="G23" s="3" t="n">
        <v>3</v>
      </c>
      <c r="H23" s="3" t="n">
        <v>4</v>
      </c>
      <c r="I23" s="7">
        <f>G23+H23</f>
        <v/>
      </c>
      <c r="J23" s="3" t="inlineStr">
        <is>
          <t>https://www.badgermeter.com/</t>
        </is>
      </c>
      <c r="K23" s="3" t="inlineStr">
        <is>
          <t>https://www.badgermeter.com/company/careers</t>
        </is>
      </c>
      <c r="L23" s="3" t="inlineStr">
        <is>
          <t>https://www.badgermeter.com/</t>
        </is>
      </c>
      <c r="M23" s="3" t="inlineStr">
        <is>
          <t>https://www.badgermeter.com/</t>
        </is>
      </c>
      <c r="N23" s="3" t="inlineStr">
        <is>
          <t>Search careers for embedded, firmware, electrical, test, IoT, product engineering, manufacturing engineering.</t>
        </is>
      </c>
      <c r="O23" s="3" t="inlineStr">
        <is>
          <t>Not contacted</t>
        </is>
      </c>
      <c r="P23" s="6" t="n"/>
      <c r="Q23" s="6" t="n"/>
      <c r="R23" s="3" t="inlineStr">
        <is>
          <t>embedded, IoT, sensors, metering, firmware, test, product engineer</t>
        </is>
      </c>
      <c r="S23" s="3" t="inlineStr">
        <is>
          <t>Electrical/product engineer</t>
        </is>
      </c>
      <c r="T23" s="3" t="inlineStr">
        <is>
          <t>Good under-the-radar Wisconsin hardware company.</t>
        </is>
      </c>
    </row>
    <row r="24" ht="39.6" customHeight="1">
      <c r="A24" s="3" t="inlineStr">
        <is>
          <t>Milwaukee</t>
        </is>
      </c>
      <c r="B24" s="3" t="inlineStr">
        <is>
          <t>Komatsu</t>
        </is>
      </c>
      <c r="C24" s="3" t="inlineStr">
        <is>
          <t>Milwaukee, WI</t>
        </is>
      </c>
      <c r="D24" s="3" t="inlineStr">
        <is>
          <t>Mining equipment / autonomy / electric systems / industrial hardware</t>
        </is>
      </c>
      <c r="E24" s="3" t="inlineStr">
        <is>
          <t>Komatsu has a Milwaukee South Harbor presence and smart mining/autonomous equipment technology.</t>
        </is>
      </c>
      <c r="F24" s="3" t="inlineStr">
        <is>
          <t>Useful for autonomy, embedded/controls, industrial networking, power systems, heavy equipment, and engineering operations.</t>
        </is>
      </c>
      <c r="G24" s="3" t="n">
        <v>3</v>
      </c>
      <c r="H24" s="3" t="n">
        <v>3</v>
      </c>
      <c r="I24" s="7">
        <f>G24+H24</f>
        <v/>
      </c>
      <c r="J24" s="3" t="inlineStr">
        <is>
          <t>https://www.komatsu.com/en-us</t>
        </is>
      </c>
      <c r="K24" s="3" t="inlineStr">
        <is>
          <t>https://www.komatsu.com/en-us/careers</t>
        </is>
      </c>
      <c r="L24" s="3" t="inlineStr">
        <is>
          <t>https://www.komatsu.com/en-us/technology/smart-mining</t>
        </is>
      </c>
      <c r="M24" s="3" t="inlineStr">
        <is>
          <t>https://www.komatsu.com/en-us/newsroom/2023/komatsu-moves-into-new-south-harbor-home</t>
        </is>
      </c>
      <c r="N24" s="3" t="inlineStr">
        <is>
          <t>Search Milwaukee for electrical, controls, automation, software, product support, test, systems roles.</t>
        </is>
      </c>
      <c r="O24" s="3" t="inlineStr">
        <is>
          <t>Not contacted</t>
        </is>
      </c>
      <c r="P24" s="21" t="n">
        <v>46240</v>
      </c>
      <c r="Q24" s="6" t="n"/>
      <c r="R24" s="3" t="inlineStr">
        <is>
          <t>controls, autonomy, electrical, embedded, industrial networking, mining</t>
        </is>
      </c>
      <c r="S24" s="3" t="inlineStr">
        <is>
          <t>Controls/electrical engineer</t>
        </is>
      </c>
      <c r="T24" s="3" t="inlineStr">
        <is>
          <t>Strong industrial systems; not pure ECE but useful.</t>
        </is>
      </c>
      <c r="U24" t="inlineStr">
        <is>
          <t>applied to brazil internship kinda dum whateva.</t>
        </is>
      </c>
    </row>
    <row r="25" ht="39.6" customHeight="1">
      <c r="A25" s="3" t="inlineStr">
        <is>
          <t>Milwaukee</t>
        </is>
      </c>
      <c r="B25" s="3" t="inlineStr">
        <is>
          <t>Brady Corporation</t>
        </is>
      </c>
      <c r="C25" s="3" t="inlineStr">
        <is>
          <t>Milwaukee, WI</t>
        </is>
      </c>
      <c r="D25" s="3" t="inlineStr">
        <is>
          <t>Identification / RFID / printers / industrial traceability</t>
        </is>
      </c>
      <c r="E25" s="3" t="inlineStr">
        <is>
          <t>Milwaukee company with products around industrial identification, traceability, printers, RFID scanners, and software.</t>
        </is>
      </c>
      <c r="F25" s="3" t="inlineStr">
        <is>
          <t>Good for RFID, scanners, printer hardware, firmware, embedded software, manufacturing systems, and industrial automation-adjacent work.</t>
        </is>
      </c>
      <c r="G25" s="3" t="n">
        <v>3</v>
      </c>
      <c r="H25" s="3" t="n">
        <v>4</v>
      </c>
      <c r="I25" s="7">
        <f>G25+H25</f>
        <v/>
      </c>
      <c r="J25" s="3" t="inlineStr">
        <is>
          <t>https://www.bradyid.com/</t>
        </is>
      </c>
      <c r="K25" s="3" t="inlineStr">
        <is>
          <t>https://www.bradyid.com/corporate/careers</t>
        </is>
      </c>
      <c r="L25" s="3" t="inlineStr">
        <is>
          <t>https://www.bradyid.com/corporate/careers</t>
        </is>
      </c>
      <c r="M25" s="3" t="inlineStr">
        <is>
          <t>https://www.bradyid.com/intelligent-manufacturing/what-is-rfid</t>
        </is>
      </c>
      <c r="N25" s="3" t="inlineStr">
        <is>
          <t>Search RFID, firmware, printer, scanner, software, electrical, product/test engineering.</t>
        </is>
      </c>
      <c r="O25" s="3" t="inlineStr">
        <is>
          <t>Not contacted</t>
        </is>
      </c>
      <c r="P25" s="6" t="n"/>
      <c r="Q25" s="6" t="n"/>
      <c r="R25" s="3" t="inlineStr">
        <is>
          <t>RFID, firmware, scanner, printer, software, electrical, product test</t>
        </is>
      </c>
      <c r="S25" s="3" t="inlineStr">
        <is>
          <t>Product/firmware engineer</t>
        </is>
      </c>
      <c r="T25" s="3" t="inlineStr">
        <is>
          <t>Worth a practical outreach shot.</t>
        </is>
      </c>
    </row>
    <row r="26" ht="39.6" customHeight="1">
      <c r="A26" s="3" t="inlineStr">
        <is>
          <t>Milwaukee</t>
        </is>
      </c>
      <c r="B26" s="3" t="inlineStr">
        <is>
          <t>Harley-Davidson</t>
        </is>
      </c>
      <c r="C26" s="3" t="inlineStr">
        <is>
          <t>Milwaukee, WI</t>
        </is>
      </c>
      <c r="D26" s="3" t="inlineStr">
        <is>
          <t>Vehicle systems / electrical / connected products / manufacturing</t>
        </is>
      </c>
      <c r="E26" s="3" t="inlineStr">
        <is>
          <t>Milwaukee icon with engineering, internships/co-ops, and vehicle/product systems roles.</t>
        </is>
      </c>
      <c r="F26" s="3" t="inlineStr">
        <is>
          <t>Relevant for embedded/electrical vehicle systems, connected product work, controls, test, manufacturing engineering, and EV-adjacent paths.</t>
        </is>
      </c>
      <c r="G26" s="3" t="n">
        <v>3</v>
      </c>
      <c r="H26" s="3" t="n">
        <v>4</v>
      </c>
      <c r="I26" s="7">
        <f>G26+H26</f>
        <v/>
      </c>
      <c r="J26" s="3" t="inlineStr">
        <is>
          <t>https://www.harley-davidson.com/us/en/index.html</t>
        </is>
      </c>
      <c r="K26" s="3" t="inlineStr">
        <is>
          <t>https://jobs.harley-davidson.com/</t>
        </is>
      </c>
      <c r="L26" s="3" t="inlineStr">
        <is>
          <t>https://www.harley-davidson.com/us/en/about-us/careers.html</t>
        </is>
      </c>
      <c r="M26" s="3" t="inlineStr">
        <is>
          <t>https://jobs.harley-davidson.com/</t>
        </is>
      </c>
      <c r="N26" s="3" t="inlineStr">
        <is>
          <t>Search engineering, electrical, connected, software, validation, manufacturing; use internship/co-op angle.</t>
        </is>
      </c>
      <c r="O26" s="3" t="inlineStr">
        <is>
          <t>Not contacted</t>
        </is>
      </c>
      <c r="P26" s="6" t="n"/>
      <c r="Q26" s="6" t="n"/>
      <c r="R26" s="3" t="inlineStr">
        <is>
          <t>electrical, vehicle systems, embedded, connected, validation, manufacturing</t>
        </is>
      </c>
      <c r="S26" s="3" t="inlineStr">
        <is>
          <t>Engineering recruiter or electrical systems engineer</t>
        </is>
      </c>
      <c r="T26" s="3" t="inlineStr">
        <is>
          <t>Less direct than Milwaukee Tool but strong brand.</t>
        </is>
      </c>
    </row>
    <row r="27" ht="39.6" customHeight="1">
      <c r="A27" s="3" t="inlineStr">
        <is>
          <t>Milwaukee</t>
        </is>
      </c>
      <c r="B27" s="3" t="inlineStr">
        <is>
          <t>Regal Rexnord</t>
        </is>
      </c>
      <c r="C27" s="3" t="inlineStr">
        <is>
          <t>Milwaukee, WI</t>
        </is>
      </c>
      <c r="D27" s="3" t="inlineStr">
        <is>
          <t>Industrial powertrain / motors / controls / automation</t>
        </is>
      </c>
      <c r="E27" s="3" t="inlineStr">
        <is>
          <t>Milwaukee-headquartered industrial company with engineering and production opportunities; roles include application and controls engineering.</t>
        </is>
      </c>
      <c r="F27" s="3" t="inlineStr">
        <is>
          <t>Good for motors, drives, controls, industrial automation, application engineering, and manufacturing-facing engineering.</t>
        </is>
      </c>
      <c r="G27" s="3" t="n">
        <v>3</v>
      </c>
      <c r="H27" s="3" t="n">
        <v>3</v>
      </c>
      <c r="I27" s="7">
        <f>G27+H27</f>
        <v/>
      </c>
      <c r="J27" s="3" t="inlineStr">
        <is>
          <t>https://www.regalrexnord.com/</t>
        </is>
      </c>
      <c r="K27" s="3" t="inlineStr">
        <is>
          <t>https://careers.regalrexnord.com/en/</t>
        </is>
      </c>
      <c r="L27" s="3" t="inlineStr">
        <is>
          <t>https://careers.regalrexnord.com/en/</t>
        </is>
      </c>
      <c r="M27" s="3" t="inlineStr">
        <is>
          <t>https://careers.regalrexnord.com/en/jobs/r26_02137/application-engineer-ii/</t>
        </is>
      </c>
      <c r="N27" s="3" t="inlineStr">
        <is>
          <t>Search Milwaukee for controls, application engineer, electrical, automation, motors, drives.</t>
        </is>
      </c>
      <c r="O27" s="3" t="inlineStr">
        <is>
          <t>Not contacted</t>
        </is>
      </c>
      <c r="P27" s="6" t="n"/>
      <c r="Q27" s="6" t="n"/>
      <c r="R27" s="3" t="inlineStr">
        <is>
          <t>controls, motors, drives, automation, application engineer, electrical</t>
        </is>
      </c>
      <c r="S27" s="3" t="inlineStr">
        <is>
          <t>Applications/controls engineer</t>
        </is>
      </c>
      <c r="T27" s="3" t="inlineStr">
        <is>
          <t>Good secondary industrial target.</t>
        </is>
      </c>
    </row>
    <row r="28" ht="66" customHeight="1">
      <c r="A28" s="3" t="inlineStr">
        <is>
          <t>Milwaukee</t>
        </is>
      </c>
      <c r="B28" s="3" t="inlineStr">
        <is>
          <t>Eaton</t>
        </is>
      </c>
      <c r="C28" s="3" t="inlineStr">
        <is>
          <t>Menomonee Falls / Milwaukee area, WI</t>
        </is>
      </c>
      <c r="D28" s="3" t="inlineStr">
        <is>
          <t>Power management / drives / industrial controls</t>
        </is>
      </c>
      <c r="E28" s="3" t="inlineStr">
        <is>
          <t>Eaton has power management careers and industrial control/division support in Menomonee Falls.</t>
        </is>
      </c>
      <c r="F28" s="3" t="inlineStr">
        <is>
          <t>Useful for VFDs, drives, power electronics, industrial controls, test, and applications engineering.</t>
        </is>
      </c>
      <c r="G28" s="3" t="n">
        <v>3</v>
      </c>
      <c r="H28" s="3" t="n">
        <v>3</v>
      </c>
      <c r="I28" s="7">
        <f>G28+H28</f>
        <v/>
      </c>
      <c r="J28" s="3" t="inlineStr">
        <is>
          <t>https://www.eaton.com/us/en-us.html</t>
        </is>
      </c>
      <c r="K28" s="3" t="inlineStr">
        <is>
          <t>https://www.eaton.com/us/en-us/company/careers.html</t>
        </is>
      </c>
      <c r="L28" s="3" t="inlineStr">
        <is>
          <t>https://www.eaton.com/us/en-us/company/careers.html</t>
        </is>
      </c>
      <c r="M28" s="3" t="inlineStr">
        <is>
          <t>https://www.eaton.com/us/en-us/products/controls-drives-automation-sensors/variable-frequency-drives/eaton-s-variable-frequency-drives-aftermarket-support.html</t>
        </is>
      </c>
      <c r="N28" s="3" t="inlineStr">
        <is>
          <t>Search Menomonee Falls/Milwaukee for electrical, controls, drives, firmware, test, applications engineering.</t>
        </is>
      </c>
      <c r="O28" s="3" t="inlineStr">
        <is>
          <t>Not contacted</t>
        </is>
      </c>
      <c r="P28" s="6" t="n"/>
      <c r="Q28" s="6" t="n"/>
      <c r="R28" s="3" t="inlineStr">
        <is>
          <t>VFD, drives, controls, power management, electrical, test, applications</t>
        </is>
      </c>
      <c r="S28" s="3" t="inlineStr">
        <is>
          <t>Controls/applications engineer</t>
        </is>
      </c>
      <c r="T28" s="3" t="inlineStr">
        <is>
          <t>Secondary but thematically aligned.</t>
        </is>
      </c>
    </row>
    <row r="29" ht="39.6" customHeight="1">
      <c r="A29" s="3" t="inlineStr">
        <is>
          <t>Milwaukee</t>
        </is>
      </c>
      <c r="B29" s="3" t="inlineStr">
        <is>
          <t>Snap-on</t>
        </is>
      </c>
      <c r="C29" s="3" t="inlineStr">
        <is>
          <t>Kenosha, WI</t>
        </is>
      </c>
      <c r="D29" s="3" t="inlineStr">
        <is>
          <t>Diagnostics / tool systems / equipment / manufacturing</t>
        </is>
      </c>
      <c r="E29" s="3" t="inlineStr">
        <is>
          <t>Kenosha-headquartered company with diagnostics, equipment, tools, and repair information systems.</t>
        </is>
      </c>
      <c r="F29" s="3" t="inlineStr">
        <is>
          <t>Potential route through diagnostics tools, embedded/software, manufacturing engineering, electronics, and product support.</t>
        </is>
      </c>
      <c r="G29" s="3" t="n">
        <v>3</v>
      </c>
      <c r="H29" s="3" t="n">
        <v>3</v>
      </c>
      <c r="I29" s="7">
        <f>G29+H29</f>
        <v/>
      </c>
      <c r="J29" s="3" t="inlineStr">
        <is>
          <t>https://www.snapon.com/</t>
        </is>
      </c>
      <c r="K29" s="3" t="inlineStr">
        <is>
          <t>https://www.snapon.com/EN/Careers</t>
        </is>
      </c>
      <c r="L29" s="3" t="inlineStr">
        <is>
          <t>https://www.snapon.com/EN/Careers</t>
        </is>
      </c>
      <c r="M29" s="3" t="inlineStr">
        <is>
          <t>https://www.snapon.com/EN/Contact-us</t>
        </is>
      </c>
      <c r="N29" s="3" t="inlineStr">
        <is>
          <t>Search Kenosha for software, electronics, diagnostics, manufacturing engineer, product/test roles.</t>
        </is>
      </c>
      <c r="O29" s="3" t="inlineStr">
        <is>
          <t>Not contacted</t>
        </is>
      </c>
      <c r="P29" s="6" t="n"/>
      <c r="Q29" s="6" t="n"/>
      <c r="R29" s="3" t="inlineStr">
        <is>
          <t>diagnostics, software, electronics, test, manufacturing engineer</t>
        </is>
      </c>
      <c r="S29" s="3" t="inlineStr">
        <is>
          <t>Diagnostics/product engineer</t>
        </is>
      </c>
      <c r="T29" s="3" t="inlineStr">
        <is>
          <t>Geographically between Milwaukee/Chicago; useful bridge target.</t>
        </is>
      </c>
    </row>
    <row r="30">
      <c r="A30" t="inlineStr">
        <is>
          <t>Appleton</t>
        </is>
      </c>
      <c r="B30" t="inlineStr">
        <is>
          <t>Usventure</t>
        </is>
      </c>
      <c r="C30" t="inlineStr">
        <is>
          <t>Appleton, WI</t>
        </is>
      </c>
      <c r="D30" t="inlineStr">
        <is>
          <t>Data science internship</t>
        </is>
      </c>
      <c r="O30" s="3" t="n"/>
      <c r="P30" s="17" t="n">
        <v>46239</v>
      </c>
      <c r="U30" t="inlineStr">
        <is>
          <t>applied to internship</t>
        </is>
      </c>
    </row>
    <row r="31" ht="15.75" customHeight="1" thickBot="1">
      <c r="A31" s="18" t="inlineStr">
        <is>
          <t>Austin</t>
        </is>
      </c>
      <c r="B31" t="inlineStr">
        <is>
          <t>Base Core power</t>
        </is>
      </c>
      <c r="C31" t="inlineStr">
        <is>
          <t>Austin, TX</t>
        </is>
      </c>
      <c r="D31" t="inlineStr">
        <is>
          <t>Hardware engineering internship</t>
        </is>
      </c>
      <c r="P31" s="25" t="inlineStr">
        <is>
          <t>8/5/2026</t>
        </is>
      </c>
      <c r="U31" t="inlineStr">
        <is>
          <t>applied to internship</t>
        </is>
      </c>
    </row>
    <row r="32" ht="16.5" customHeight="1" thickBot="1" thickTop="1">
      <c r="A32" s="23" t="inlineStr">
        <is>
          <t>Teal - AI Job Search</t>
        </is>
      </c>
      <c r="B32" t="inlineStr">
        <is>
          <t>nightwing</t>
        </is>
      </c>
      <c r="D32" s="19" t="inlineStr">
        <is>
          <t>Hardware engineering internship</t>
        </is>
      </c>
      <c r="P32" s="26" t="inlineStr">
        <is>
          <t>8/5/2026</t>
        </is>
      </c>
      <c r="Q32" t="inlineStr">
        <is>
          <t>rejected</t>
        </is>
      </c>
      <c r="U32" s="20" t="inlineStr">
        <is>
          <t>applied to internship</t>
        </is>
      </c>
    </row>
    <row r="33" ht="15.75" customHeight="1" thickTop="1">
      <c r="B33" t="inlineStr">
        <is>
          <t>TSC</t>
        </is>
      </c>
      <c r="C33" t="inlineStr">
        <is>
          <t>Plymouth, MA</t>
        </is>
      </c>
      <c r="D33" s="19" t="inlineStr">
        <is>
          <t>Hardware engineering internship</t>
        </is>
      </c>
      <c r="P33" s="27" t="n">
        <v>46240</v>
      </c>
      <c r="U33" s="20" t="inlineStr">
        <is>
          <t>applied to internship</t>
        </is>
      </c>
    </row>
    <row r="34" ht="15" customHeight="1">
      <c r="B34" t="inlineStr">
        <is>
          <t>Nvidia</t>
        </is>
      </c>
      <c r="C34" t="inlineStr">
        <is>
          <t>idk</t>
        </is>
      </c>
      <c r="P34" s="27" t="n">
        <v>46240</v>
      </c>
    </row>
    <row r="35" ht="15" customHeight="1">
      <c r="B35" t="inlineStr">
        <is>
          <t>CMC</t>
        </is>
      </c>
      <c r="C35" t="inlineStr">
        <is>
          <t>idk</t>
        </is>
      </c>
      <c r="D35" t="inlineStr">
        <is>
          <t>Data Science</t>
        </is>
      </c>
      <c r="P35" s="27" t="n">
        <v>46240</v>
      </c>
    </row>
    <row r="36" ht="15" customHeight="1">
      <c r="B36" t="inlineStr">
        <is>
          <t>Optiver</t>
        </is>
      </c>
      <c r="C36" t="inlineStr">
        <is>
          <t>international mane</t>
        </is>
      </c>
      <c r="D36" t="inlineStr">
        <is>
          <t>Quant FPGA engineer</t>
        </is>
      </c>
      <c r="P36" s="27" t="n">
        <v>46249</v>
      </c>
      <c r="Q36" s="18" t="inlineStr">
        <is>
          <t>Invited to take assessment</t>
        </is>
      </c>
    </row>
    <row r="37" ht="15" customHeight="1">
      <c r="B37" t="inlineStr">
        <is>
          <t>IMC</t>
        </is>
      </c>
      <c r="C37" t="inlineStr">
        <is>
          <t>international mane</t>
        </is>
      </c>
      <c r="D37" t="inlineStr">
        <is>
          <t>Quant FPGA engineer</t>
        </is>
      </c>
      <c r="P37" s="27" t="n">
        <v>46249</v>
      </c>
      <c r="Q37" s="18" t="inlineStr">
        <is>
          <t>Rejected</t>
        </is>
      </c>
    </row>
    <row r="38" ht="15" customHeight="1">
      <c r="B38" t="inlineStr">
        <is>
          <t>Infineon</t>
        </is>
      </c>
      <c r="C38" t="inlineStr">
        <is>
          <t>San Jose, CA</t>
        </is>
      </c>
      <c r="D38" t="inlineStr">
        <is>
          <t>Infineon Embedded system eng internshi</t>
        </is>
      </c>
      <c r="P38" s="27" t="n">
        <v>46249</v>
      </c>
    </row>
    <row r="39" ht="15" customHeight="1">
      <c r="B39" t="inlineStr">
        <is>
          <t>US Venture</t>
        </is>
      </c>
      <c r="C39" t="inlineStr">
        <is>
          <t>Appleton, WI</t>
        </is>
      </c>
      <c r="D39" t="inlineStr">
        <is>
          <t>Electrical Engineering intern</t>
        </is>
      </c>
      <c r="P39" s="27" t="n">
        <v>46249</v>
      </c>
    </row>
    <row r="40" ht="15" customHeight="1">
      <c r="A40" t="inlineStr">
        <is>
          <t>1234ghjkasdf!A</t>
        </is>
      </c>
      <c r="B40" t="inlineStr">
        <is>
          <t>Cambium</t>
        </is>
      </c>
      <c r="C40" t="inlineStr">
        <is>
          <t>???</t>
        </is>
      </c>
      <c r="D40" t="inlineStr">
        <is>
          <t>ML internship</t>
        </is>
      </c>
      <c r="P40" s="27" t="n">
        <v>46249</v>
      </c>
    </row>
    <row r="41" ht="15" customHeight="1">
      <c r="B41" t="inlineStr">
        <is>
          <t>RTX</t>
        </is>
      </c>
      <c r="C41" t="inlineStr">
        <is>
          <t>international mane</t>
        </is>
      </c>
      <c r="D41" t="inlineStr">
        <is>
          <t>Software engineering internship</t>
        </is>
      </c>
      <c r="P41" s="24" t="inlineStr">
        <is>
          <t>???</t>
        </is>
      </c>
      <c r="Q41" t="inlineStr">
        <is>
          <t>rejected</t>
        </is>
      </c>
    </row>
    <row r="42">
      <c r="B42" t="inlineStr">
        <is>
          <t>Electronic Threatre Controls</t>
        </is>
      </c>
    </row>
  </sheetData>
  <conditionalFormatting sqref="I2:I30">
    <cfRule type="colorScale" priority="1">
      <colorScale>
        <cfvo type="min"/>
        <cfvo type="percentile" val="50"/>
        <cfvo type="max"/>
        <color rgb="FFFEE2E2"/>
        <color rgb="FFFEF3C7"/>
        <color rgb="FFDCFCE7"/>
      </colorScale>
    </cfRule>
  </conditionalFormatting>
  <conditionalFormatting sqref="O2:O29 P30:P32">
    <cfRule type="expression" priority="2" dxfId="2">
      <formula>O2="Not contacted"</formula>
    </cfRule>
    <cfRule type="expression" priority="3" dxfId="1">
      <formula>O2="Applied"</formula>
    </cfRule>
    <cfRule type="expression" priority="4" dxfId="0">
      <formula>O2="Interviewing"</formula>
    </cfRule>
  </conditionalFormatting>
  <dataValidations count="1">
    <dataValidation sqref="O2:O29 P30" showDropDown="0" showInputMessage="0" showErrorMessage="0" allowBlank="0" type="list">
      <formula1>"Not contacted,Applied,Messaged,Followed up,Interviewing,Rejected,Paused,Closed,Won"</formula1>
    </dataValidation>
  </dataValidations>
  <hyperlinks>
    <hyperlink xmlns:r="http://schemas.openxmlformats.org/officeDocument/2006/relationships" ref="A32" display="https://app.tealhq.com/ai-job-search" r:id="rId1"/>
  </hyperlinks>
  <pageMargins left="0.7" right="0.7" top="0.75" bottom="0.75" header="0.3" footer="0.3"/>
  <pageSetup orientation="portrait"/>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4.25"/>
  <cols>
    <col width="30" customWidth="1" min="1" max="1"/>
    <col width="12" customWidth="1" min="2" max="2"/>
    <col width="28" customWidth="1" min="3" max="4"/>
    <col width="16" customWidth="1" min="5" max="6"/>
    <col width="18" customWidth="1" min="7" max="7"/>
    <col width="32" customWidth="1" min="8" max="8"/>
    <col width="40" customWidth="1" min="9" max="9"/>
  </cols>
  <sheetData>
    <row r="1" ht="15" customHeight="1">
      <c r="A1" s="5" t="inlineStr">
        <is>
          <t>Company</t>
        </is>
      </c>
      <c r="B1" s="5" t="inlineStr">
        <is>
          <t>Region</t>
        </is>
      </c>
      <c r="C1" s="5" t="inlineStr">
        <is>
          <t>Contact / role</t>
        </is>
      </c>
      <c r="D1" s="5" t="inlineStr">
        <is>
          <t>Where found</t>
        </is>
      </c>
      <c r="E1" s="5" t="inlineStr">
        <is>
          <t>Date sent</t>
        </is>
      </c>
      <c r="F1" s="5" t="inlineStr">
        <is>
          <t>Follow-up due</t>
        </is>
      </c>
      <c r="G1" s="5" t="inlineStr">
        <is>
          <t>Response</t>
        </is>
      </c>
      <c r="H1" s="5" t="inlineStr">
        <is>
          <t>Next step</t>
        </is>
      </c>
      <c r="I1" s="5" t="inlineStr">
        <is>
          <t>Notes</t>
        </is>
      </c>
    </row>
    <row r="2" ht="15" customHeight="1">
      <c r="A2" s="3" t="inlineStr">
        <is>
          <t>Motorola Solutions</t>
        </is>
      </c>
      <c r="B2" s="3" t="inlineStr">
        <is>
          <t>Chicago</t>
        </is>
      </c>
      <c r="C2" s="3" t="n"/>
      <c r="D2" s="3" t="n"/>
      <c r="E2" s="6" t="n"/>
      <c r="F2" s="6">
        <f>IF(E2="","",E2+7)</f>
        <v/>
      </c>
      <c r="G2" s="3" t="inlineStr">
        <is>
          <t>No reply yet</t>
        </is>
      </c>
      <c r="H2" s="3" t="n"/>
      <c r="I2" s="3" t="n"/>
    </row>
    <row r="3" ht="15" customHeight="1">
      <c r="A3" s="3" t="inlineStr">
        <is>
          <t>Northrop Grumman</t>
        </is>
      </c>
      <c r="B3" s="3" t="inlineStr">
        <is>
          <t>Chicago</t>
        </is>
      </c>
      <c r="C3" s="3" t="n"/>
      <c r="D3" s="3" t="n"/>
      <c r="E3" s="6" t="n"/>
      <c r="F3" s="6">
        <f>IF(E3="","",E3+7)</f>
        <v/>
      </c>
      <c r="G3" s="3" t="inlineStr">
        <is>
          <t>No reply yet</t>
        </is>
      </c>
      <c r="H3" s="3" t="n"/>
      <c r="I3" s="3" t="n"/>
    </row>
    <row r="4" ht="15" customHeight="1">
      <c r="A4" s="3" t="inlineStr">
        <is>
          <t>Molex</t>
        </is>
      </c>
      <c r="B4" s="3" t="inlineStr">
        <is>
          <t>Chicago</t>
        </is>
      </c>
      <c r="C4" s="3" t="n"/>
      <c r="D4" s="3" t="n"/>
      <c r="E4" s="6" t="n"/>
      <c r="F4" s="6">
        <f>IF(E4="","",E4+7)</f>
        <v/>
      </c>
      <c r="G4" s="3" t="inlineStr">
        <is>
          <t>No reply yet</t>
        </is>
      </c>
      <c r="H4" s="3" t="n"/>
      <c r="I4" s="3" t="n"/>
    </row>
    <row r="5" ht="15" customHeight="1">
      <c r="A5" s="3" t="inlineStr">
        <is>
          <t>Shure</t>
        </is>
      </c>
      <c r="B5" s="3" t="inlineStr">
        <is>
          <t>Chicago</t>
        </is>
      </c>
      <c r="C5" s="3" t="n"/>
      <c r="D5" s="3" t="n"/>
      <c r="E5" s="6" t="n"/>
      <c r="F5" s="6">
        <f>IF(E5="","",E5+7)</f>
        <v/>
      </c>
      <c r="G5" s="3" t="inlineStr">
        <is>
          <t>No reply yet</t>
        </is>
      </c>
      <c r="H5" s="3" t="n"/>
      <c r="I5" s="3" t="n"/>
    </row>
    <row r="6" ht="15" customHeight="1">
      <c r="A6" s="3" t="inlineStr">
        <is>
          <t>Zebra Technologies</t>
        </is>
      </c>
      <c r="B6" s="3" t="inlineStr">
        <is>
          <t>Chicago</t>
        </is>
      </c>
      <c r="C6" s="3" t="n"/>
      <c r="D6" s="3" t="n"/>
      <c r="E6" s="6" t="n"/>
      <c r="F6" s="6">
        <f>IF(E6="","",E6+7)</f>
        <v/>
      </c>
      <c r="G6" s="3" t="inlineStr">
        <is>
          <t>No reply yet</t>
        </is>
      </c>
      <c r="H6" s="3" t="n"/>
      <c r="I6" s="3" t="n"/>
    </row>
    <row r="7" ht="15" customHeight="1">
      <c r="A7" s="3" t="inlineStr">
        <is>
          <t>S&amp;C Electric Company</t>
        </is>
      </c>
      <c r="B7" s="3" t="inlineStr">
        <is>
          <t>Chicago</t>
        </is>
      </c>
      <c r="C7" s="3" t="n"/>
      <c r="D7" s="3" t="n"/>
      <c r="E7" s="6" t="n"/>
      <c r="F7" s="6">
        <f>IF(E7="","",E7+7)</f>
        <v/>
      </c>
      <c r="G7" s="3" t="inlineStr">
        <is>
          <t>No reply yet</t>
        </is>
      </c>
      <c r="H7" s="3" t="n"/>
      <c r="I7" s="3" t="n"/>
    </row>
    <row r="8" ht="15" customHeight="1">
      <c r="A8" s="3" t="inlineStr">
        <is>
          <t>Littelfuse</t>
        </is>
      </c>
      <c r="B8" s="3" t="inlineStr">
        <is>
          <t>Chicago</t>
        </is>
      </c>
      <c r="C8" s="3" t="n"/>
      <c r="D8" s="3" t="n"/>
      <c r="E8" s="6" t="n"/>
      <c r="F8" s="6">
        <f>IF(E8="","",E8+7)</f>
        <v/>
      </c>
      <c r="G8" s="3" t="inlineStr">
        <is>
          <t>No reply yet</t>
        </is>
      </c>
      <c r="H8" s="3" t="n"/>
      <c r="I8" s="3" t="n"/>
    </row>
    <row r="9" ht="15" customHeight="1">
      <c r="A9" s="3" t="inlineStr">
        <is>
          <t>Argonne National Laboratory</t>
        </is>
      </c>
      <c r="B9" s="3" t="inlineStr">
        <is>
          <t>Chicago</t>
        </is>
      </c>
      <c r="C9" s="3" t="n"/>
      <c r="D9" s="3" t="n"/>
      <c r="E9" s="6" t="n"/>
      <c r="F9" s="6">
        <f>IF(E9="","",E9+7)</f>
        <v/>
      </c>
      <c r="G9" s="3" t="inlineStr">
        <is>
          <t>No reply yet</t>
        </is>
      </c>
      <c r="H9" s="3" t="n"/>
      <c r="I9" s="3" t="n"/>
    </row>
    <row r="10" ht="15" customHeight="1">
      <c r="A10" s="3" t="inlineStr">
        <is>
          <t>Fermilab</t>
        </is>
      </c>
      <c r="B10" s="3" t="inlineStr">
        <is>
          <t>Chicago</t>
        </is>
      </c>
      <c r="C10" s="3" t="n"/>
      <c r="D10" s="3" t="n"/>
      <c r="E10" s="6" t="n"/>
      <c r="F10" s="6">
        <f>IF(E10="","",E10+7)</f>
        <v/>
      </c>
      <c r="G10" s="3" t="inlineStr">
        <is>
          <t>No reply yet</t>
        </is>
      </c>
      <c r="H10" s="3" t="n"/>
      <c r="I10" s="3" t="n"/>
    </row>
    <row r="11" ht="15" customHeight="1">
      <c r="A11" s="3" t="inlineStr">
        <is>
          <t>Chamberlain Group</t>
        </is>
      </c>
      <c r="B11" s="3" t="inlineStr">
        <is>
          <t>Chicago</t>
        </is>
      </c>
      <c r="C11" s="3" t="n"/>
      <c r="D11" s="3" t="n"/>
      <c r="E11" s="6" t="n"/>
      <c r="F11" s="6">
        <f>IF(E11="","",E11+7)</f>
        <v/>
      </c>
      <c r="G11" s="3" t="inlineStr">
        <is>
          <t>No reply yet</t>
        </is>
      </c>
      <c r="H11" s="3" t="n"/>
      <c r="I11" s="3" t="n"/>
    </row>
    <row r="12" ht="15" customHeight="1">
      <c r="A12" s="3" t="inlineStr">
        <is>
          <t>Panduit</t>
        </is>
      </c>
      <c r="B12" s="3" t="inlineStr">
        <is>
          <t>Chicago</t>
        </is>
      </c>
      <c r="C12" s="3" t="n"/>
      <c r="D12" s="3" t="n"/>
      <c r="E12" s="6" t="n"/>
      <c r="F12" s="6">
        <f>IF(E12="","",E12+7)</f>
        <v/>
      </c>
      <c r="G12" s="3" t="inlineStr">
        <is>
          <t>No reply yet</t>
        </is>
      </c>
      <c r="H12" s="3" t="n"/>
      <c r="I12" s="3" t="n"/>
    </row>
    <row r="13" ht="15" customHeight="1">
      <c r="A13" s="3" t="inlineStr">
        <is>
          <t>UL Solutions</t>
        </is>
      </c>
      <c r="B13" s="3" t="inlineStr">
        <is>
          <t>Chicago</t>
        </is>
      </c>
      <c r="C13" s="3" t="n"/>
      <c r="D13" s="3" t="n"/>
      <c r="E13" s="6" t="n"/>
      <c r="F13" s="6">
        <f>IF(E13="","",E13+7)</f>
        <v/>
      </c>
      <c r="G13" s="3" t="inlineStr">
        <is>
          <t>No reply yet</t>
        </is>
      </c>
      <c r="H13" s="3" t="n"/>
      <c r="I13" s="3" t="n"/>
    </row>
    <row r="14" ht="15" customHeight="1">
      <c r="A14" s="3" t="inlineStr">
        <is>
          <t>mHUB</t>
        </is>
      </c>
      <c r="B14" s="3" t="inlineStr">
        <is>
          <t>Chicago</t>
        </is>
      </c>
      <c r="C14" s="3" t="n"/>
      <c r="D14" s="3" t="n"/>
      <c r="E14" s="6" t="n"/>
      <c r="F14" s="6">
        <f>IF(E14="","",E14+7)</f>
        <v/>
      </c>
      <c r="G14" s="3" t="inlineStr">
        <is>
          <t>No reply yet</t>
        </is>
      </c>
      <c r="H14" s="3" t="n"/>
      <c r="I14" s="3" t="n"/>
    </row>
    <row r="15" ht="15" customHeight="1">
      <c r="A15" s="3" t="inlineStr">
        <is>
          <t>Wabtec</t>
        </is>
      </c>
      <c r="B15" s="3" t="inlineStr">
        <is>
          <t>Chicago</t>
        </is>
      </c>
      <c r="C15" s="3" t="n"/>
      <c r="D15" s="3" t="n"/>
      <c r="E15" s="6" t="n"/>
      <c r="F15" s="6">
        <f>IF(E15="","",E15+7)</f>
        <v/>
      </c>
      <c r="G15" s="3" t="inlineStr">
        <is>
          <t>No reply yet</t>
        </is>
      </c>
      <c r="H15" s="3" t="n"/>
      <c r="I15" s="3" t="n"/>
    </row>
    <row r="16" ht="15" customHeight="1">
      <c r="A16" s="3" t="inlineStr">
        <is>
          <t>Rockwell Automation</t>
        </is>
      </c>
      <c r="B16" s="3" t="inlineStr">
        <is>
          <t>Milwaukee</t>
        </is>
      </c>
      <c r="C16" s="3" t="n"/>
      <c r="D16" s="3" t="n"/>
      <c r="E16" s="6" t="n"/>
      <c r="F16" s="6">
        <f>IF(E16="","",E16+7)</f>
        <v/>
      </c>
      <c r="G16" s="3" t="inlineStr">
        <is>
          <t>No reply yet</t>
        </is>
      </c>
      <c r="H16" s="3" t="n"/>
      <c r="I16" s="3" t="n"/>
    </row>
    <row r="17" ht="15" customHeight="1">
      <c r="A17" s="3" t="inlineStr">
        <is>
          <t>Milwaukee Tool</t>
        </is>
      </c>
      <c r="B17" s="3" t="inlineStr">
        <is>
          <t>Milwaukee</t>
        </is>
      </c>
      <c r="C17" s="3" t="n"/>
      <c r="D17" s="3" t="n"/>
      <c r="E17" s="6" t="n"/>
      <c r="F17" s="6">
        <f>IF(E17="","",E17+7)</f>
        <v/>
      </c>
      <c r="G17" s="3" t="inlineStr">
        <is>
          <t>No reply yet</t>
        </is>
      </c>
      <c r="H17" s="3" t="n"/>
      <c r="I17" s="3" t="n"/>
    </row>
    <row r="18" ht="15" customHeight="1">
      <c r="A18" s="3" t="inlineStr">
        <is>
          <t>GE HealthCare</t>
        </is>
      </c>
      <c r="B18" s="3" t="inlineStr">
        <is>
          <t>Milwaukee</t>
        </is>
      </c>
      <c r="C18" s="3" t="n"/>
      <c r="D18" s="3" t="n"/>
      <c r="E18" s="6" t="n"/>
      <c r="F18" s="6">
        <f>IF(E18="","",E18+7)</f>
        <v/>
      </c>
      <c r="G18" s="3" t="inlineStr">
        <is>
          <t>No reply yet</t>
        </is>
      </c>
      <c r="H18" s="3" t="n"/>
      <c r="I18" s="3" t="n"/>
    </row>
    <row r="19" ht="15" customHeight="1">
      <c r="A19" s="3" t="inlineStr">
        <is>
          <t>Leonardo DRS Naval Power Systems</t>
        </is>
      </c>
      <c r="B19" s="3" t="inlineStr">
        <is>
          <t>Milwaukee</t>
        </is>
      </c>
      <c r="C19" s="3" t="n"/>
      <c r="D19" s="3" t="n"/>
      <c r="E19" s="6" t="n"/>
      <c r="F19" s="6">
        <f>IF(E19="","",E19+7)</f>
        <v/>
      </c>
      <c r="G19" s="3" t="inlineStr">
        <is>
          <t>No reply yet</t>
        </is>
      </c>
      <c r="H19" s="3" t="n"/>
      <c r="I19" s="3" t="n"/>
    </row>
    <row r="20" ht="15" customHeight="1">
      <c r="A20" s="3" t="inlineStr">
        <is>
          <t>Astronautics Corporation of America</t>
        </is>
      </c>
      <c r="B20" s="3" t="inlineStr">
        <is>
          <t>Milwaukee</t>
        </is>
      </c>
      <c r="C20" s="3" t="n"/>
      <c r="D20" s="3" t="n"/>
      <c r="E20" s="6" t="n"/>
      <c r="F20" s="6">
        <f>IF(E20="","",E20+7)</f>
        <v/>
      </c>
      <c r="G20" s="3" t="inlineStr">
        <is>
          <t>No reply yet</t>
        </is>
      </c>
      <c r="H20" s="3" t="n"/>
      <c r="I20" s="3" t="n"/>
    </row>
    <row r="21" ht="15" customHeight="1">
      <c r="A21" s="3" t="inlineStr">
        <is>
          <t>Generac</t>
        </is>
      </c>
      <c r="B21" s="3" t="inlineStr">
        <is>
          <t>Milwaukee</t>
        </is>
      </c>
      <c r="C21" s="3" t="n"/>
      <c r="D21" s="3" t="n"/>
      <c r="E21" s="6" t="n"/>
      <c r="F21" s="6">
        <f>IF(E21="","",E21+7)</f>
        <v/>
      </c>
      <c r="G21" s="3" t="inlineStr">
        <is>
          <t>No reply yet</t>
        </is>
      </c>
      <c r="H21" s="3" t="n"/>
      <c r="I21" s="3" t="n"/>
    </row>
    <row r="22" ht="15" customHeight="1">
      <c r="A22" s="3" t="inlineStr">
        <is>
          <t>Johnson Controls</t>
        </is>
      </c>
      <c r="B22" s="3" t="inlineStr">
        <is>
          <t>Milwaukee</t>
        </is>
      </c>
      <c r="C22" s="3" t="n"/>
      <c r="D22" s="3" t="n"/>
      <c r="E22" s="6" t="n"/>
      <c r="F22" s="6">
        <f>IF(E22="","",E22+7)</f>
        <v/>
      </c>
      <c r="G22" s="3" t="inlineStr">
        <is>
          <t>No reply yet</t>
        </is>
      </c>
      <c r="H22" s="3" t="n"/>
      <c r="I22" s="3" t="n"/>
    </row>
    <row r="23" ht="15" customHeight="1">
      <c r="A23" s="3" t="inlineStr">
        <is>
          <t>Badger Meter</t>
        </is>
      </c>
      <c r="B23" s="3" t="inlineStr">
        <is>
          <t>Milwaukee</t>
        </is>
      </c>
      <c r="C23" s="3" t="n"/>
      <c r="D23" s="3" t="n"/>
      <c r="E23" s="6" t="n"/>
      <c r="F23" s="6">
        <f>IF(E23="","",E23+7)</f>
        <v/>
      </c>
      <c r="G23" s="3" t="inlineStr">
        <is>
          <t>No reply yet</t>
        </is>
      </c>
      <c r="H23" s="3" t="n"/>
      <c r="I23" s="3" t="n"/>
    </row>
    <row r="24" ht="15" customHeight="1">
      <c r="A24" s="3" t="inlineStr">
        <is>
          <t>Komatsu</t>
        </is>
      </c>
      <c r="B24" s="3" t="inlineStr">
        <is>
          <t>Milwaukee</t>
        </is>
      </c>
      <c r="C24" s="3" t="n"/>
      <c r="D24" s="3" t="n"/>
      <c r="E24" s="6" t="n"/>
      <c r="F24" s="6">
        <f>IF(E24="","",E24+7)</f>
        <v/>
      </c>
      <c r="G24" s="3" t="inlineStr">
        <is>
          <t>No reply yet</t>
        </is>
      </c>
      <c r="H24" s="3" t="n"/>
      <c r="I24" s="3" t="n"/>
    </row>
    <row r="25" ht="15" customHeight="1">
      <c r="A25" s="3" t="inlineStr">
        <is>
          <t>Brady Corporation</t>
        </is>
      </c>
      <c r="B25" s="3" t="inlineStr">
        <is>
          <t>Milwaukee</t>
        </is>
      </c>
      <c r="C25" s="3" t="n"/>
      <c r="D25" s="3" t="n"/>
      <c r="E25" s="6" t="n"/>
      <c r="F25" s="6">
        <f>IF(E25="","",E25+7)</f>
        <v/>
      </c>
      <c r="G25" s="3" t="inlineStr">
        <is>
          <t>No reply yet</t>
        </is>
      </c>
      <c r="H25" s="3" t="n"/>
      <c r="I25" s="3" t="n"/>
    </row>
    <row r="26" ht="15" customHeight="1">
      <c r="A26" s="3" t="inlineStr">
        <is>
          <t>Harley-Davidson</t>
        </is>
      </c>
      <c r="B26" s="3" t="inlineStr">
        <is>
          <t>Milwaukee</t>
        </is>
      </c>
      <c r="C26" s="3" t="n"/>
      <c r="D26" s="3" t="n"/>
      <c r="E26" s="6" t="n"/>
      <c r="F26" s="6">
        <f>IF(E26="","",E26+7)</f>
        <v/>
      </c>
      <c r="G26" s="3" t="inlineStr">
        <is>
          <t>No reply yet</t>
        </is>
      </c>
      <c r="H26" s="3" t="n"/>
      <c r="I26" s="3" t="n"/>
    </row>
    <row r="27" ht="15" customHeight="1">
      <c r="A27" s="3" t="inlineStr">
        <is>
          <t>Regal Rexnord</t>
        </is>
      </c>
      <c r="B27" s="3" t="inlineStr">
        <is>
          <t>Milwaukee</t>
        </is>
      </c>
      <c r="C27" s="3" t="n"/>
      <c r="D27" s="3" t="n"/>
      <c r="E27" s="6" t="n"/>
      <c r="F27" s="6">
        <f>IF(E27="","",E27+7)</f>
        <v/>
      </c>
      <c r="G27" s="3" t="inlineStr">
        <is>
          <t>No reply yet</t>
        </is>
      </c>
      <c r="H27" s="3" t="n"/>
      <c r="I27" s="3" t="n"/>
    </row>
    <row r="28" ht="15" customHeight="1">
      <c r="A28" s="3" t="inlineStr">
        <is>
          <t>Eaton</t>
        </is>
      </c>
      <c r="B28" s="3" t="inlineStr">
        <is>
          <t>Milwaukee</t>
        </is>
      </c>
      <c r="C28" s="3" t="n"/>
      <c r="D28" s="3" t="n"/>
      <c r="E28" s="6" t="n"/>
      <c r="F28" s="6">
        <f>IF(E28="","",E28+7)</f>
        <v/>
      </c>
      <c r="G28" s="3" t="inlineStr">
        <is>
          <t>No reply yet</t>
        </is>
      </c>
      <c r="H28" s="3" t="n"/>
      <c r="I28" s="3" t="n"/>
    </row>
    <row r="29" ht="15" customHeight="1">
      <c r="A29" s="3" t="inlineStr">
        <is>
          <t>Snap-on</t>
        </is>
      </c>
      <c r="B29" s="3" t="inlineStr">
        <is>
          <t>Milwaukee</t>
        </is>
      </c>
      <c r="C29" s="3" t="n"/>
      <c r="D29" s="3" t="n"/>
      <c r="E29" s="6" t="n"/>
      <c r="F29" s="6">
        <f>IF(E29="","",E29+7)</f>
        <v/>
      </c>
      <c r="G29" s="3" t="inlineStr">
        <is>
          <t>No reply yet</t>
        </is>
      </c>
      <c r="H29" s="3" t="n"/>
      <c r="I29" s="3" t="n"/>
    </row>
  </sheetData>
  <dataValidations count="1">
    <dataValidation sqref="G2:G29" showDropDown="0" showInputMessage="0" showErrorMessage="0" allowBlank="0" type="list">
      <formula1>"No reply yet,Replied,Followed up,Rejected,Interviewing,Paused"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4.25"/>
  <cols>
    <col width="26" customWidth="1" min="1" max="1"/>
    <col width="90" customWidth="1" min="2" max="2"/>
  </cols>
  <sheetData>
    <row r="1" ht="26.45" customHeight="1">
      <c r="A1" s="1" t="inlineStr">
        <is>
          <t>Cold outreach template — customize before sending</t>
        </is>
      </c>
      <c r="B1" s="1" t="n"/>
    </row>
    <row r="3" ht="39.6" customHeight="1">
      <c r="A3" t="inlineStr">
        <is>
          <t>Subject line options</t>
        </is>
      </c>
      <c r="B3" t="inlineStr">
        <is>
          <t>UW–Madison computer engineering student interested in [Company]
Quick question from a UW–Madison embedded / FPGA student
Aspiring hardware engineer interested in your [firmware / controls / digital design] team</t>
        </is>
      </c>
    </row>
    <row r="4" ht="15" customHeight="1"/>
    <row r="5" ht="105.6" customHeight="1">
      <c r="A5" t="inlineStr">
        <is>
          <t>Email / LinkedIn note</t>
        </is>
      </c>
      <c r="B5" t="inlineStr">
        <is>
          <t>Hi [Name],
I’m Adam, a UW–Madison computer engineering student focused on digital design, embedded systems, FPGA/RTL, and hardware-software integration. I’m expanding my search beyond Madison into Milwaukee and Chicago because I want to get closer to real product engineering, controls, firmware, validation, or hardware design work.
[Company-specific detail] stood out to me because it connects to the kind of systems I want to build. I’d be grateful to ask you a few questions about how someone early-career can break into this kind of work and what roles, projects, or skills I should focus on.
Thank you,
Adam</t>
        </is>
      </c>
    </row>
    <row r="6" ht="15" customHeight="1"/>
    <row r="7" ht="66" customHeight="1">
      <c r="A7" t="inlineStr">
        <is>
          <t>5-minute customization checklist</t>
        </is>
      </c>
      <c r="B7" t="inlineStr">
        <is>
          <t>1) Mention one real company detail.
2) Mention one relevant project/class: SystemVerilog, embedded, FPGA, circuits, PSoC6, etc.
3) Ask for advice or a short conversation, not a job.
4) Keep it under 170 words.
5) Log it in Tracker_Blank immediately.</t>
        </is>
      </c>
    </row>
    <row r="8" ht="15" customHeight="1"/>
    <row r="9" ht="52.7" customHeight="1">
      <c r="A9" t="inlineStr">
        <is>
          <t>Technical hooks by target type</t>
        </is>
      </c>
      <c r="B9" t="inlineStr">
        <is>
          <t>Controls/power: circuits, C/C++, validation, power electronics, motor control.
Embedded/product: C/C++, firmware, hardware test, RTOS/Linux, bring-up.
FPGA/digital: Verilog/SystemVerilog, timing, verification, RTL, testbenches.
Lab/research: photonics, quantum, instrumentation, measurement, scientific computing.</t>
        </is>
      </c>
    </row>
    <row r="10" ht="15" customHeight="1"/>
    <row r="11" ht="15" customHeight="1">
      <c r="A11" t="inlineStr">
        <is>
          <t>Follow-up message</t>
        </is>
      </c>
      <c r="B11" t="inlineStr">
        <is>
          <t>Hi [Name], just following up on this. I’m trying to learn the Chicago/Milwaukee hardware and embedded landscape, and I’d really appreciate any quick advice or pointers if you have time. Thank you again — Adam</t>
        </is>
      </c>
    </row>
    <row r="12" ht="15" customHeight="1"/>
    <row r="13" ht="15" customHeight="1">
      <c r="A13" t="inlineStr">
        <is>
          <t>Do not overthink rule</t>
        </is>
      </c>
      <c r="B13" t="inlineStr">
        <is>
          <t>Send the message once it is specific, respectful, and technically grounded. Perfect wording is not the edge; volume + follow-up + action is the edge.</t>
        </is>
      </c>
    </row>
    <row r="14" ht="15" customHeight="1"/>
    <row r="15" ht="15" customHeight="1"/>
    <row r="16" ht="15" customHeight="1"/>
    <row r="17" ht="15" customHeight="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4.25"/>
  <cols>
    <col width="28" customWidth="1" min="1" max="1"/>
    <col width="44" customWidth="1" min="2" max="2"/>
    <col width="80" customWidth="1" min="3" max="3"/>
  </cols>
  <sheetData>
    <row r="1" ht="15" customHeight="1">
      <c r="A1" s="5" t="inlineStr">
        <is>
          <t>Resource</t>
        </is>
      </c>
      <c r="B1" s="5" t="inlineStr">
        <is>
          <t>Why it matters</t>
        </is>
      </c>
      <c r="C1" s="5" t="inlineStr">
        <is>
          <t>URL / Search string</t>
        </is>
      </c>
    </row>
    <row r="2" ht="26.45" customHeight="1">
      <c r="A2" s="3" t="inlineStr">
        <is>
          <t>Official company careers pages</t>
        </is>
      </c>
      <c r="B2" s="3" t="inlineStr">
        <is>
          <t>Primary source for open roles; search by location + keyword.</t>
        </is>
      </c>
      <c r="C2" s="3" t="inlineStr">
        <is>
          <t>Use company URLs in Regional_Targets.</t>
        </is>
      </c>
    </row>
    <row r="3" ht="39.6" customHeight="1">
      <c r="A3" s="3" t="inlineStr">
        <is>
          <t>LinkedIn alumni search</t>
        </is>
      </c>
      <c r="B3" s="3" t="inlineStr">
        <is>
          <t>Find UW–Madison, MATC, MSOE, UIUC, and Milwaukee School of Engineering engineers at each target.</t>
        </is>
      </c>
      <c r="C3" s="3" t="inlineStr">
        <is>
          <t>Search: site:linkedin.com/in "Company" "UW-Madison" "embedded"</t>
        </is>
      </c>
    </row>
    <row r="4" ht="26.45" customHeight="1">
      <c r="A4" s="3" t="inlineStr">
        <is>
          <t>Built In Chicago</t>
        </is>
      </c>
      <c r="B4" s="3" t="inlineStr">
        <is>
          <t>Useful for Chicago tech/hardware/software roles and recent postings.</t>
        </is>
      </c>
      <c r="C4" s="3" t="inlineStr">
        <is>
          <t>https://www.builtinchicago.org/jobs</t>
        </is>
      </c>
    </row>
    <row r="5" ht="26.45" customHeight="1">
      <c r="A5" s="3" t="inlineStr">
        <is>
          <t>mHUB member-company careers</t>
        </is>
      </c>
      <c r="B5" s="3" t="inlineStr">
        <is>
          <t>Find hardtech startup roles that may not be on huge job boards.</t>
        </is>
      </c>
      <c r="C5" s="3" t="inlineStr">
        <is>
          <t>https://www.mhubchicago.com/careers/tag/member-company-career</t>
        </is>
      </c>
    </row>
    <row r="6" ht="26.45" customHeight="1">
      <c r="A6" s="3" t="inlineStr">
        <is>
          <t>Rockwell job board</t>
        </is>
      </c>
      <c r="B6" s="3" t="inlineStr">
        <is>
          <t>High-priority Milwaukee/Mequon hardware, controls, embedded, and student roles.</t>
        </is>
      </c>
      <c r="C6" s="3" t="inlineStr">
        <is>
          <t>https://jobs.rockwellautomation.com/</t>
        </is>
      </c>
    </row>
    <row r="7" ht="26.45" customHeight="1">
      <c r="A7" s="3" t="inlineStr">
        <is>
          <t>Milwaukee Tool engineering</t>
        </is>
      </c>
      <c r="B7" s="3" t="inlineStr">
        <is>
          <t>High-priority Brookfield/Milwaukee embedded, firmware, power electronics, and motor-control roles.</t>
        </is>
      </c>
      <c r="C7" s="3" t="inlineStr">
        <is>
          <t>https://www.milwaukeetool.jobs/career-areas/engineering/electrical-engineering</t>
        </is>
      </c>
    </row>
    <row r="8" ht="26.45" customHeight="1">
      <c r="A8" s="3" t="inlineStr">
        <is>
          <t>Argonne undergraduate internships</t>
        </is>
      </c>
      <c r="B8" s="3" t="inlineStr">
        <is>
          <t>Research and lab route near Chicago.</t>
        </is>
      </c>
      <c r="C8" s="3" t="inlineStr">
        <is>
          <t>https://www.anl.gov/education/undergraduate-internship-opportunities</t>
        </is>
      </c>
    </row>
    <row r="9" ht="26.45" customHeight="1">
      <c r="A9" s="3" t="inlineStr">
        <is>
          <t>Fermilab jobs</t>
        </is>
      </c>
      <c r="B9" s="3" t="inlineStr">
        <is>
          <t>Chicago-area lab route for controls, electronics, instrumentation, software.</t>
        </is>
      </c>
      <c r="C9" s="3" t="inlineStr">
        <is>
          <t>https://jobs.fnal.gov/</t>
        </is>
      </c>
    </row>
    <row r="10" ht="39.6" customHeight="1">
      <c r="A10" s="3" t="inlineStr">
        <is>
          <t>Daily search string</t>
        </is>
      </c>
      <c r="B10" s="3" t="inlineStr">
        <is>
          <t>Use this for job boards.</t>
        </is>
      </c>
      <c r="C10" s="3" t="inlineStr">
        <is>
          <t>(embedded OR firmware OR FPGA OR RTL OR electrical OR validation OR controls) (Chicago OR Schaumburg OR Rolling Meadows OR Milwaukee OR Brookfield OR Waukesha OR Menomonee Falls)</t>
        </is>
      </c>
    </row>
    <row r="11" ht="15" customHeight="1">
      <c r="A11" s="3" t="inlineStr">
        <is>
          <t>Cold outreach search string</t>
        </is>
      </c>
      <c r="B11" s="3" t="inlineStr">
        <is>
          <t>Use this for LinkedIn search.</t>
        </is>
      </c>
      <c r="C11" s="3" t="inlineStr">
        <is>
          <t>(firmware OR embedded OR FPGA OR hardware OR controls) engineer "UW-Madison" "Milwaukee"</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4.25"/>
  <cols>
    <col width="8" customWidth="1" min="1" max="1"/>
    <col width="22" customWidth="1" min="2" max="2"/>
    <col width="58" customWidth="1" min="3" max="3"/>
    <col width="36" customWidth="1" min="4" max="4"/>
    <col width="10" customWidth="1" min="5" max="5"/>
    <col width="34" customWidth="1" min="6" max="6"/>
  </cols>
  <sheetData>
    <row r="1" ht="15" customHeight="1">
      <c r="A1" s="5" t="inlineStr">
        <is>
          <t>Day</t>
        </is>
      </c>
      <c r="B1" s="5" t="inlineStr">
        <is>
          <t>Theme</t>
        </is>
      </c>
      <c r="C1" s="5" t="inlineStr">
        <is>
          <t>Action</t>
        </is>
      </c>
      <c r="D1" s="5" t="inlineStr">
        <is>
          <t>Output</t>
        </is>
      </c>
      <c r="E1" s="5" t="inlineStr">
        <is>
          <t>Done?</t>
        </is>
      </c>
      <c r="F1" s="5" t="inlineStr">
        <is>
          <t>Notes</t>
        </is>
      </c>
    </row>
    <row r="2" ht="26.45" customHeight="1">
      <c r="A2" s="3" t="n">
        <v>1</v>
      </c>
      <c r="B2" s="3" t="inlineStr">
        <is>
          <t>Milwaukee core</t>
        </is>
      </c>
      <c r="C2" s="3" t="inlineStr">
        <is>
          <t>Open Rockwell, Milwaukee Tool, Generac, Astronautics, and GE HealthCare career pages.</t>
        </is>
      </c>
      <c r="D2" s="3" t="inlineStr">
        <is>
          <t>5 saved role links + 5 LinkedIn people</t>
        </is>
      </c>
      <c r="E2" s="3" t="n"/>
      <c r="F2" s="3" t="n"/>
    </row>
    <row r="3" ht="15" customHeight="1">
      <c r="A3" s="3" t="n">
        <v>2</v>
      </c>
      <c r="B3" s="3" t="inlineStr">
        <is>
          <t>Milwaukee outreach</t>
        </is>
      </c>
      <c r="C3" s="3" t="inlineStr">
        <is>
          <t>Apply to 2 roles if credible; message 4 engineers/recruiters.</t>
        </is>
      </c>
      <c r="D3" s="3" t="inlineStr">
        <is>
          <t>2 applications + 4 messages logged</t>
        </is>
      </c>
      <c r="E3" s="3" t="n"/>
      <c r="F3" s="3" t="n"/>
    </row>
    <row r="4" ht="15" customHeight="1">
      <c r="A4" s="3" t="n">
        <v>3</v>
      </c>
      <c r="B4" s="3" t="inlineStr">
        <is>
          <t>Chicago core</t>
        </is>
      </c>
      <c r="C4" s="3" t="inlineStr">
        <is>
          <t>Open Motorola, Northrop, Molex, Shure, Zebra career pages.</t>
        </is>
      </c>
      <c r="D4" s="3" t="inlineStr">
        <is>
          <t>5 saved role links + 5 LinkedIn people</t>
        </is>
      </c>
      <c r="E4" s="3" t="n"/>
      <c r="F4" s="3" t="n"/>
    </row>
    <row r="5" ht="15" customHeight="1">
      <c r="A5" s="3" t="n">
        <v>4</v>
      </c>
      <c r="B5" s="3" t="inlineStr">
        <is>
          <t>Chicago outreach</t>
        </is>
      </c>
      <c r="C5" s="3" t="inlineStr">
        <is>
          <t>Apply to 2 roles if credible; message 4 engineers/recruiters.</t>
        </is>
      </c>
      <c r="D5" s="3" t="inlineStr">
        <is>
          <t>2 applications + 4 messages logged</t>
        </is>
      </c>
      <c r="E5" s="3" t="n"/>
      <c r="F5" s="3" t="n"/>
    </row>
    <row r="6" ht="15" customHeight="1">
      <c r="A6" s="3" t="n">
        <v>5</v>
      </c>
      <c r="B6" s="3" t="inlineStr">
        <is>
          <t>Research/network</t>
        </is>
      </c>
      <c r="C6" s="3" t="inlineStr">
        <is>
          <t>Scan Argonne, Fermilab, mHUB; find one event/program/person each.</t>
        </is>
      </c>
      <c r="D6" s="3" t="inlineStr">
        <is>
          <t>3 network targets</t>
        </is>
      </c>
      <c r="E6" s="3" t="n"/>
      <c r="F6" s="3" t="n"/>
    </row>
    <row r="7" ht="26.45" customHeight="1">
      <c r="A7" s="3" t="n">
        <v>6</v>
      </c>
      <c r="B7" s="3" t="inlineStr">
        <is>
          <t>Application polish</t>
        </is>
      </c>
      <c r="C7" s="3" t="inlineStr">
        <is>
          <t>Create one embedded/hardware resume variant and one controls/power variant.</t>
        </is>
      </c>
      <c r="D7" s="3" t="inlineStr">
        <is>
          <t>2 resume variants</t>
        </is>
      </c>
      <c r="E7" s="3" t="n"/>
      <c r="F7" s="3" t="n"/>
    </row>
    <row r="8" ht="15" customHeight="1">
      <c r="A8" s="3" t="n">
        <v>7</v>
      </c>
      <c r="B8" s="3" t="inlineStr">
        <is>
          <t>Follow-up prep</t>
        </is>
      </c>
      <c r="C8" s="3" t="inlineStr">
        <is>
          <t>Check tracker, schedule follow-ups, refine notes based on responses.</t>
        </is>
      </c>
      <c r="D8" s="3" t="inlineStr">
        <is>
          <t>Follow-up list filled</t>
        </is>
      </c>
      <c r="E8" s="3" t="n"/>
      <c r="F8" s="3" t="n"/>
    </row>
    <row r="9" ht="15" customHeight="1">
      <c r="A9" s="3" t="n">
        <v>8</v>
      </c>
      <c r="B9" s="3" t="inlineStr">
        <is>
          <t>Milwaukee second wave</t>
        </is>
      </c>
      <c r="C9" s="3" t="inlineStr">
        <is>
          <t>Hit Badger Meter, Johnson Controls, Brady, Harley, Eaton/Regal.</t>
        </is>
      </c>
      <c r="D9" s="3" t="inlineStr">
        <is>
          <t>5 saved roles + 5 contacts</t>
        </is>
      </c>
      <c r="E9" s="3" t="n"/>
      <c r="F9" s="3" t="n"/>
    </row>
    <row r="10" ht="15" customHeight="1">
      <c r="A10" s="3" t="n">
        <v>9</v>
      </c>
      <c r="B10" s="3" t="inlineStr">
        <is>
          <t>Chicago second wave</t>
        </is>
      </c>
      <c r="C10" s="3" t="inlineStr">
        <is>
          <t>Hit S&amp;C, Littelfuse, UL, Chamberlain, Panduit, Wabtec.</t>
        </is>
      </c>
      <c r="D10" s="3" t="inlineStr">
        <is>
          <t>6 saved roles + 6 contacts</t>
        </is>
      </c>
      <c r="E10" s="3" t="n"/>
      <c r="F10" s="3" t="n"/>
    </row>
    <row r="11" ht="15" customHeight="1">
      <c r="A11" s="3" t="n">
        <v>10</v>
      </c>
      <c r="B11" s="3" t="inlineStr">
        <is>
          <t>Alumni mining</t>
        </is>
      </c>
      <c r="C11" s="3" t="inlineStr">
        <is>
          <t>Search UW/MSOE/MATC alumni at top 10 companies.</t>
        </is>
      </c>
      <c r="D11" s="3" t="inlineStr">
        <is>
          <t>10 named people</t>
        </is>
      </c>
      <c r="E11" s="3" t="n"/>
      <c r="F11" s="3" t="n"/>
    </row>
    <row r="12" ht="15" customHeight="1">
      <c r="A12" s="3" t="n">
        <v>11</v>
      </c>
      <c r="B12" s="3" t="inlineStr">
        <is>
          <t>Project alignment</t>
        </is>
      </c>
      <c r="C12" s="3" t="inlineStr">
        <is>
          <t>Map PSoC6/FPGA project bullets to role keywords.</t>
        </is>
      </c>
      <c r="D12" s="3" t="inlineStr">
        <is>
          <t>10 tailored bullets</t>
        </is>
      </c>
      <c r="E12" s="3" t="n"/>
      <c r="F12" s="3" t="n"/>
    </row>
    <row r="13" ht="15" customHeight="1">
      <c r="A13" s="3" t="n">
        <v>12</v>
      </c>
      <c r="B13" s="3" t="inlineStr">
        <is>
          <t>Apply/message</t>
        </is>
      </c>
      <c r="C13" s="3" t="inlineStr">
        <is>
          <t>Send another 3 applications and 6 messages.</t>
        </is>
      </c>
      <c r="D13" s="3" t="inlineStr">
        <is>
          <t>9 actions logged</t>
        </is>
      </c>
      <c r="E13" s="3" t="n"/>
      <c r="F13" s="3" t="n"/>
    </row>
    <row r="14" ht="15" customHeight="1">
      <c r="A14" s="3" t="n">
        <v>13</v>
      </c>
      <c r="B14" s="3" t="inlineStr">
        <is>
          <t>Follow-up</t>
        </is>
      </c>
      <c r="C14" s="3" t="inlineStr">
        <is>
          <t>Follow up with anyone from Day 2–4 who has not replied.</t>
        </is>
      </c>
      <c r="D14" s="3" t="inlineStr">
        <is>
          <t>Follow-ups sent</t>
        </is>
      </c>
      <c r="E14" s="3" t="n"/>
      <c r="F14" s="3" t="n"/>
    </row>
    <row r="15" ht="15" customHeight="1">
      <c r="A15" s="3" t="n">
        <v>14</v>
      </c>
      <c r="B15" s="3" t="inlineStr">
        <is>
          <t>Review</t>
        </is>
      </c>
      <c r="C15" s="3" t="inlineStr">
        <is>
          <t>Sort by responses and fit; decide top 5 companies to pursue next week.</t>
        </is>
      </c>
      <c r="D15" s="3" t="inlineStr">
        <is>
          <t>Next-week priority list</t>
        </is>
      </c>
      <c r="E15" s="3" t="n"/>
      <c r="F15" s="3" t="n"/>
    </row>
  </sheetData>
  <dataValidations count="1">
    <dataValidation sqref="E2:E15" showDropDown="0" showInputMessage="0" showErrorMessage="0" allowBlank="0" type="list">
      <formula1>",Yes,No,Partial"</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2026-10-19T19:55:14Z</dcterms:created>
  <dcterms:modified xmlns:dcterms="http://purl.org/dc/terms/" xmlns:xsi="http://www.w3.org/2001/XMLSchema-instance" xsi:type="dcterms:W3CDTF">2026-10-25T18:15:18+00:00Z</dcterms:modified>
  <cp:lastModifiedBy>BurgShot Homie</cp:lastModifiedBy>
</cp:coreProperties>
</file>