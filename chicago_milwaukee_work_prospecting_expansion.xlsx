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ams\Personal\JobHunt\"/>
    </mc:Choice>
  </mc:AlternateContent>
  <xr:revisionPtr revIDLastSave="0" documentId="13_ncr:1_{E16300F3-F14A-46CA-8232-36019A892376}" xr6:coauthVersionLast="47" xr6:coauthVersionMax="47" xr10:uidLastSave="{00000000-0000-0000-0000-000000000000}"/>
  <bookViews>
    <workbookView xWindow="-21705" yWindow="7740" windowWidth="18195" windowHeight="11160" activeTab="3" xr2:uid="{00000000-000D-0000-FFFF-FFFF00000000}"/>
  </bookViews>
  <sheets>
    <sheet name="Start_Here" sheetId="1" r:id="rId1"/>
    <sheet name="Research" sheetId="8" r:id="rId2"/>
    <sheet name="Existing_Madison" sheetId="2" r:id="rId3"/>
    <sheet name="Regional_Targets" sheetId="3" r:id="rId4"/>
    <sheet name="Tracker_Blank" sheetId="4" r:id="rId5"/>
    <sheet name="Outreach_Template" sheetId="5" r:id="rId6"/>
    <sheet name="Resources" sheetId="6" r:id="rId7"/>
    <sheet name="2_Week_Plan"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8" l="1"/>
  <c r="E6" i="8"/>
  <c r="E7" i="8"/>
  <c r="E8" i="8"/>
  <c r="E9" i="8"/>
  <c r="E10" i="8"/>
  <c r="E11" i="8"/>
  <c r="E12" i="8"/>
  <c r="E13" i="8"/>
  <c r="E14" i="8"/>
  <c r="E15" i="8"/>
  <c r="E16" i="8"/>
  <c r="E17" i="8"/>
  <c r="E18" i="8"/>
  <c r="F29" i="4"/>
  <c r="F28" i="4"/>
  <c r="F27" i="4"/>
  <c r="F26" i="4"/>
  <c r="F25" i="4"/>
  <c r="F24" i="4"/>
  <c r="F23" i="4"/>
  <c r="F22" i="4"/>
  <c r="F21" i="4"/>
  <c r="F20" i="4"/>
  <c r="F19" i="4"/>
  <c r="F18" i="4"/>
  <c r="F17" i="4"/>
  <c r="F16" i="4"/>
  <c r="F15" i="4"/>
  <c r="F14" i="4"/>
  <c r="F13" i="4"/>
  <c r="F12" i="4"/>
  <c r="F11" i="4"/>
  <c r="F10" i="4"/>
  <c r="F9" i="4"/>
  <c r="F8" i="4"/>
  <c r="F7" i="4"/>
  <c r="F6" i="4"/>
  <c r="F5" i="4"/>
  <c r="F4" i="4"/>
  <c r="F3" i="4"/>
  <c r="F2" i="4"/>
  <c r="I29" i="3"/>
  <c r="I28" i="3"/>
  <c r="I27" i="3"/>
  <c r="I26" i="3"/>
  <c r="I25" i="3"/>
  <c r="I24" i="3"/>
  <c r="I23" i="3"/>
  <c r="I22" i="3"/>
  <c r="I21" i="3"/>
  <c r="I20" i="3"/>
  <c r="I19" i="3"/>
  <c r="I18" i="3"/>
  <c r="I17" i="3"/>
  <c r="I16" i="3"/>
  <c r="I15" i="3"/>
  <c r="I14" i="3"/>
  <c r="I13" i="3"/>
  <c r="I12" i="3"/>
  <c r="I11" i="3"/>
  <c r="I10" i="3"/>
  <c r="I9" i="3"/>
  <c r="I8" i="3"/>
  <c r="I7" i="3"/>
  <c r="I6" i="3"/>
  <c r="I5" i="3"/>
  <c r="I4" i="3"/>
  <c r="I3" i="3"/>
  <c r="I2" i="3"/>
  <c r="B11" i="1"/>
  <c r="B10" i="1"/>
  <c r="B9" i="1"/>
  <c r="B8" i="1"/>
  <c r="B7" i="1"/>
</calcChain>
</file>

<file path=xl/sharedStrings.xml><?xml version="1.0" encoding="utf-8"?>
<sst xmlns="http://schemas.openxmlformats.org/spreadsheetml/2006/main" count="1544" uniqueCount="736">
  <si>
    <t>Chicago + Milwaukee Work Prospecting Expansion</t>
  </si>
  <si>
    <t>Generated</t>
  </si>
  <si>
    <t>Purpose</t>
  </si>
  <si>
    <t>Expand Adam's hardware / embedded / FPGA / digital-design job board beyond Madison into Chicago and Milwaukee.</t>
  </si>
  <si>
    <t>Metric</t>
  </si>
  <si>
    <t>Formula</t>
  </si>
  <si>
    <t>Read this first</t>
  </si>
  <si>
    <t>New regional targets</t>
  </si>
  <si>
    <t>Best Milwaukee wave</t>
  </si>
  <si>
    <t>Rockwell Automation, Milwaukee Tool, Generac, Astronautics, GE HealthCare</t>
  </si>
  <si>
    <t>Chicago targets</t>
  </si>
  <si>
    <t>Best Chicago wave</t>
  </si>
  <si>
    <t>Motorola Solutions, Northrop Grumman, Molex, Shure, Argonne/Fermilab</t>
  </si>
  <si>
    <t>Milwaukee targets</t>
  </si>
  <si>
    <t>Best pure job-market move</t>
  </si>
  <si>
    <t>Apply where roles exist, then message engineers with one specific technical hook.</t>
  </si>
  <si>
    <t>Priority 9+ targets</t>
  </si>
  <si>
    <t>Best network move</t>
  </si>
  <si>
    <t>mHUB, Argonne, Fermilab, UW/MSOE/LinkedIn alumni, and company-specific engineers.</t>
  </si>
  <si>
    <t>Not contacted</t>
  </si>
  <si>
    <t>Keyword base</t>
  </si>
  <si>
    <t>embedded, firmware, FPGA, RTL, electrical, validation, test, controls, power electronics.</t>
  </si>
  <si>
    <t>Rule</t>
  </si>
  <si>
    <t>Do not wait for perfect fit. Hardware test / validation / controls can be a path into design.</t>
  </si>
  <si>
    <t>Weekly quota</t>
  </si>
  <si>
    <t>Apply to 5 real roles + send 8 targeted messages + log every interaction.</t>
  </si>
  <si>
    <t>Follow-up rule</t>
  </si>
  <si>
    <t>Follow up seven days after outreach unless the role is closed or they answer.</t>
  </si>
  <si>
    <t>Reality check</t>
  </si>
  <si>
    <t>Chicago is broader but logistically harder; Milwaukee is closer and surprisingly aligned.</t>
  </si>
  <si>
    <t>First 10 companies to hit</t>
  </si>
  <si>
    <t>Region</t>
  </si>
  <si>
    <t>Why</t>
  </si>
  <si>
    <t>Action</t>
  </si>
  <si>
    <t>Rockwell Automation</t>
  </si>
  <si>
    <t>Milwaukee</t>
  </si>
  <si>
    <t>Best controls/industrial automation fit.</t>
  </si>
  <si>
    <t>Search hardware/firmware/controls and apply.</t>
  </si>
  <si>
    <t>Milwaukee Tool</t>
  </si>
  <si>
    <t>Best embedded/power electronics/motor-control product fit.</t>
  </si>
  <si>
    <t>Search firmware/electrical/internship/co-op.</t>
  </si>
  <si>
    <t>Motorola Solutions</t>
  </si>
  <si>
    <t>Chicago</t>
  </si>
  <si>
    <t>Best communications + embedded/FPGA Chicago target.</t>
  </si>
  <si>
    <t>Search Schaumburg FPGA/embedded.</t>
  </si>
  <si>
    <t>Northrop Grumman</t>
  </si>
  <si>
    <t>Serious RF/electronic warfare hardware.</t>
  </si>
  <si>
    <t>Search Rolling Meadows engineering.</t>
  </si>
  <si>
    <t>Generac</t>
  </si>
  <si>
    <t>Power systems + embedded controls.</t>
  </si>
  <si>
    <t>Search firmware/validation/power electronics.</t>
  </si>
  <si>
    <t>Astronautics</t>
  </si>
  <si>
    <t>Avionics + safety-critical embedded systems.</t>
  </si>
  <si>
    <t>Search avionics software/systems.</t>
  </si>
  <si>
    <t>Molex</t>
  </si>
  <si>
    <t>Chip-adjacent electronics/interconnect.</t>
  </si>
  <si>
    <t>Search electrical/validation/signal integrity.</t>
  </si>
  <si>
    <t>Shure</t>
  </si>
  <si>
    <t>Wireless audio + firmware/RF/DSP.</t>
  </si>
  <si>
    <t>Search firmware/DSP/RF internships.</t>
  </si>
  <si>
    <t>GE HealthCare</t>
  </si>
  <si>
    <t>Medical imaging systems/software/hardware.</t>
  </si>
  <si>
    <t>Search Waukesha engineering.</t>
  </si>
  <si>
    <t>Company</t>
  </si>
  <si>
    <t>City / Area</t>
  </si>
  <si>
    <t>Segment</t>
  </si>
  <si>
    <t>Why it belongs on your list</t>
  </si>
  <si>
    <t>Relevant signal for you</t>
  </si>
  <si>
    <t>Digital-design fit (1-5)</t>
  </si>
  <si>
    <t>Student access (1-5)</t>
  </si>
  <si>
    <t>Priority Score</t>
  </si>
  <si>
    <t>Website</t>
  </si>
  <si>
    <t>Careers / Contact</t>
  </si>
  <si>
    <t>Source 1</t>
  </si>
  <si>
    <t>Source 2</t>
  </si>
  <si>
    <t>First action</t>
  </si>
  <si>
    <t>Outreach status</t>
  </si>
  <si>
    <t>Date contacted</t>
  </si>
  <si>
    <t>Follow-up due</t>
  </si>
  <si>
    <t>Extreme Engineering Solutions (X-ES)</t>
  </si>
  <si>
    <t>Verona</t>
  </si>
  <si>
    <t>FPGA / embedded computing hardware</t>
  </si>
  <si>
    <t>Local embedded-computing company with FPGA modules, I/O modules, boards, systems, and on-site manufacturing.</t>
  </si>
  <si>
    <t>Strongest nearby fit if you want FPGA / board-level digital design; explicit student opportunities.</t>
  </si>
  <si>
    <t>https://www.xes-inc.com/</t>
  </si>
  <si>
    <t>https://www.xes-inc.com/about/careers/</t>
  </si>
  <si>
    <t>https://www.xes-inc.com/about/</t>
  </si>
  <si>
    <t>https://www.xes-inc.com/about/careers/student-co-op-opportunities/</t>
  </si>
  <si>
    <t>Apply to any student role, then send a short note asking about hardware / FPGA paths.</t>
  </si>
  <si>
    <t>i3 Product Development</t>
  </si>
  <si>
    <t>Sun Prairie</t>
  </si>
  <si>
    <t>Product development / embedded / electrical engineering</t>
  </si>
  <si>
    <t>Nearby engineering firm with in-house electrical engineering, embedded software, prototyping, and internships.</t>
  </si>
  <si>
    <t>Great practical fit if you want to talk to real product-development engineers and get hardware exposure fast.</t>
  </si>
  <si>
    <t>https://i3pd.com/</t>
  </si>
  <si>
    <t>https://i3pd.com/jobs/</t>
  </si>
  <si>
    <t>https://i3pd.com/contact-us/</t>
  </si>
  <si>
    <t>https://i3pd.com/team/</t>
  </si>
  <si>
    <t>Apply to internships or entry paths and mention your interest in embedded / digital hardware projects.</t>
  </si>
  <si>
    <t>SixLine Semiconductor</t>
  </si>
  <si>
    <t>Middleton</t>
  </si>
  <si>
    <t>Pure-play semiconductor startup</t>
  </si>
  <si>
    <t>Commercializing carbon-nanotube semiconductor technology for next-generation devices.</t>
  </si>
  <si>
    <t>Best local pure-play semiconductor networking target; founder/startup conversations could be valuable even if openings are sparse.</t>
  </si>
  <si>
    <t>https://www.sixlinesemi.com/</t>
  </si>
  <si>
    <t>https://www.sixlinesemi.com/contact</t>
  </si>
  <si>
    <t>https://wedc.org/innovate-in-wisconsin/innovation-investment-portfolio/sixline-semiconductor-inc/</t>
  </si>
  <si>
    <t>Send founder/team outreach asking for a 15-minute learning conversation about local semiconductor paths.</t>
  </si>
  <si>
    <t>Sound Devices</t>
  </si>
  <si>
    <t>Madison / Reedsburg</t>
  </si>
  <si>
    <t>Professional audio / embedded hardware</t>
  </si>
  <si>
    <t>Designs, assembles, and supports pro-audio and wireless products in Wisconsin; Madison office has embedded roles.</t>
  </si>
  <si>
    <t>Very solid embedded-hardware target with real products, local engineering, and a history of internships.</t>
  </si>
  <si>
    <t>https://www.sounddevices.com/</t>
  </si>
  <si>
    <t>https://www.sounddevices.com/company/careers/</t>
  </si>
  <si>
    <t>https://www.sounddevices.com/embedded-software-engineer-madison-wi/</t>
  </si>
  <si>
    <t>Reach out to engineering recruiting or apply directly to embedded openings; mention hardware + real-time interest.</t>
  </si>
  <si>
    <t>Sub-Zero Group</t>
  </si>
  <si>
    <t>Fitchburg / Madison</t>
  </si>
  <si>
    <t>Product engineering / controls / appliance electronics</t>
  </si>
  <si>
    <t>Large local product company with manufacturing and engineering in Fitchburg plus student programs.</t>
  </si>
  <si>
    <t>Not semiconductor, but a real Wisconsin hardware employer with product-development and controls/electronics paths.</t>
  </si>
  <si>
    <t>https://www.subzero-wolf.com/</t>
  </si>
  <si>
    <t>https://www.subzero-wolf.com/about/careers</t>
  </si>
  <si>
    <t>https://www.subzero-wolf.com/about/careers/locations</t>
  </si>
  <si>
    <t>https://www.subzero-wolf.com/about/careers/co-op-program</t>
  </si>
  <si>
    <t>Watch student and engineering openings; tailor outreach to product development, controls, or electronics.</t>
  </si>
  <si>
    <t>Johnson Health Tech</t>
  </si>
  <si>
    <t>Cottage Grove</t>
  </si>
  <si>
    <t>Connected products / electronics / embedded systems</t>
  </si>
  <si>
    <t>Cottage Grove engineering team has posted senior electrical and embedded software roles for connected products.</t>
  </si>
  <si>
    <t>Good nearby product-electronics company if you want analog/digital hardware, system connectivity, and firmware-adjacent work.</t>
  </si>
  <si>
    <t>https://www.johnsonhealthtech.com/</t>
  </si>
  <si>
    <t>https://www.johnsonhealthtech.com/us/eng/careers</t>
  </si>
  <si>
    <t>https://recruiting.paylocity.com/recruiting/jobs/List/2034/Johnson-Heath-Tech-Companies</t>
  </si>
  <si>
    <t>Check the Cottage Grove postings and send a concise note about hardware / embedded interest.</t>
  </si>
  <si>
    <t>Promega</t>
  </si>
  <si>
    <t>Madison</t>
  </si>
  <si>
    <t>Scientific instruments / benchtop systems</t>
  </si>
  <si>
    <t>Madison-headquartered manufacturer that develops reagents and instruments, with engineering and instrument-service roles.</t>
  </si>
  <si>
    <t>Useful if you want to enter hardware through scientific instruments, system integration, service, or manufacturing engineering.</t>
  </si>
  <si>
    <t>https://www.promega.com/</t>
  </si>
  <si>
    <t>https://www.promega.com/aboutus/careers/</t>
  </si>
  <si>
    <t>https://www.promega.com/aboutus/company-information/</t>
  </si>
  <si>
    <t>https://www.promega.com/aboutus/press-releases/global/2022/may-17-2022-forensic-laboratories-flexibility-with-spectrum-ce/</t>
  </si>
  <si>
    <t>Look for instrument, service, hardware, or manufacturing-engineering roles on the Madison campus.</t>
  </si>
  <si>
    <t>Springs Window Fashions</t>
  </si>
  <si>
    <t>Connected products / firmware / controls</t>
  </si>
  <si>
    <t>Middleton team is hiring firmware and electrical engineers for motorized and connected products, plus internships.</t>
  </si>
  <si>
    <t>Not semiconductor, but a very real nearby embedded-products employer.</t>
  </si>
  <si>
    <t>https://springswindowfashions.com/</t>
  </si>
  <si>
    <t>https://springswindowfashions.com/careers/career-opportunities/</t>
  </si>
  <si>
    <t>https://careers-springswindowfashions.icims.com/jobs/12354/firmware-engineer/job</t>
  </si>
  <si>
    <t>Track firmware/electrical roles and mention interest in controls, connected devices, and embedded systems.</t>
  </si>
  <si>
    <t>Qolab</t>
  </si>
  <si>
    <t>Quantum hardware / semiconductor-compatible fabrication</t>
  </si>
  <si>
    <t>Madison lab building superconducting quantum hardware with advanced semiconductor-compatible fabrication.</t>
  </si>
  <si>
    <t>Good advanced-hardware startup target for conversations about control, packaging, readout, and scalable hardware systems.</t>
  </si>
  <si>
    <t>https://qolab.ai/</t>
  </si>
  <si>
    <t>https://qolab.ai/contact-us/</t>
  </si>
  <si>
    <t>Send a concise hardware-interest note and watch for lab or hardware-engineering openings.</t>
  </si>
  <si>
    <t>CAMECA Instruments (Atom Probe Technology Center)</t>
  </si>
  <si>
    <t>Semiconductor metrology / instrumentation</t>
  </si>
  <si>
    <t>Madison-area site develops and manufactures LEAP atom probe tools used in materials and semiconductor work.</t>
  </si>
  <si>
    <t>Relevant if you can enter through electronics, test, instrumentation, or manufacturing-engineering-adjacent work.</t>
  </si>
  <si>
    <t>https://www.cameca.com/</t>
  </si>
  <si>
    <t>https://www.cameca.com/company/careers</t>
  </si>
  <si>
    <t>https://www.cameca.com/contact/production-sites/atom-probe-technology-center</t>
  </si>
  <si>
    <t>Check Madison-site openings and look for electronics, instrument, test, or manufacturing roles.</t>
  </si>
  <si>
    <t>Infleqtion</t>
  </si>
  <si>
    <t>Quantum hardware / sensing</t>
  </si>
  <si>
    <t>Quantum technology company with a Madison office spanning hardware, sensing, and software.</t>
  </si>
  <si>
    <t>Less direct than X-ES, but still worth tracking for hardware / experimental systems opportunities.</t>
  </si>
  <si>
    <t>https://infleqtion.com/</t>
  </si>
  <si>
    <t>https://infleqtion.com/careers/</t>
  </si>
  <si>
    <t>https://infleqtion.com/infleqtion-and-university-of-colorado-boulder-collaborate/</t>
  </si>
  <si>
    <t>Track openings and send a short Madison-office note if you see a hardware-adjacent fit.</t>
  </si>
  <si>
    <t>Thermo Fisher Scientific</t>
  </si>
  <si>
    <t>Analytical instrumentation / service / software</t>
  </si>
  <si>
    <t>Madison remains a real Thermo Fisher instrument site, with local service/support and instrument/software activity.</t>
  </si>
  <si>
    <t>Not your purest digital-design fit, but worth watching for hardware-support, instrumentation, automation, or local software roles.</t>
  </si>
  <si>
    <t>https://www.thermofisher.com/us/en/home.html</t>
  </si>
  <si>
    <t>https://jobs.thermofisher.com/</t>
  </si>
  <si>
    <t>https://www.thermofisher.com/us/en/home/technical-resources/manufacturing-site-iso-certifications.html</t>
  </si>
  <si>
    <t>https://jobs.thermofisher.com/global/en/job/R-01346167/Software-Development-Manager</t>
  </si>
  <si>
    <t>Search Madison openings with keywords like instrument, hardware, automation, validation, software, and service.</t>
  </si>
  <si>
    <t>SHINE Technologies</t>
  </si>
  <si>
    <t>Janesville / Fitchburg</t>
  </si>
  <si>
    <t>Fusion systems / advanced hardware</t>
  </si>
  <si>
    <t>Builds fusion-related systems in southern Wisconsin and is hiring in Janesville and Fitchburg.</t>
  </si>
  <si>
    <t>Worth including if you want hard-tech exposure, engineering rigor, and local advanced-energy hardware contacts.</t>
  </si>
  <si>
    <t>https://www.shinefusion.com/</t>
  </si>
  <si>
    <t>https://www.shinefusion.com/about/careers</t>
  </si>
  <si>
    <t>https://www.shinefusion.com/videos/shine-technologies-systems-and-manufacturing-facility-in-fitchburg-wisconsin</t>
  </si>
  <si>
    <t>Track systems, manufacturing, controls, or hardware roles and send a targeted note about advanced hardware interest.</t>
  </si>
  <si>
    <t>NorthStar Medical Radioisotopes</t>
  </si>
  <si>
    <t>Beloit</t>
  </si>
  <si>
    <t>Accelerator-based systems / automation / advanced hardware</t>
  </si>
  <si>
    <t>Beloit campus uses electron beam accelerators and is hiring engineering roles including automation.</t>
  </si>
  <si>
    <t>Interesting if you want complex systems, controls, automation, or accelerator-adjacent hardware exposure.</t>
  </si>
  <si>
    <t>https://www.northstarnm.com/</t>
  </si>
  <si>
    <t>https://www.northstarnm.com/careers/</t>
  </si>
  <si>
    <t>https://www.northstarnm.com/company/facilities/</t>
  </si>
  <si>
    <t>Look for automation, controls, electrical, or systems roles and send a short learning-oriented outreach note.</t>
  </si>
  <si>
    <t>ABS Global / Genus</t>
  </si>
  <si>
    <t>Windsor / DeForest</t>
  </si>
  <si>
    <t>Biosystems / embedded hardware</t>
  </si>
  <si>
    <t>Nearby biosystems team has recently posted embedded software work in Windsor, giving you another local embedded-systems angle.</t>
  </si>
  <si>
    <t>Not semiconductor, but worth one shot because it is close and has shown embedded hiring.</t>
  </si>
  <si>
    <t>https://www.absglobal.com/abs-careers/</t>
  </si>
  <si>
    <t>https://www.ziprecruiter.com/c/Genus-PLC/Job/Sr-Software-Engineer%2C-Embedded/-in-Windsor%2CWI?jid=7424564879546158</t>
  </si>
  <si>
    <t>Search Windsor / DeForest engineering postings and send one concise embedded-systems outreach note.</t>
  </si>
  <si>
    <t>Type One Energy</t>
  </si>
  <si>
    <t>Fusion hardware / controls / advanced energy</t>
  </si>
  <si>
    <t>Madison office in a venture-backed fusion company with local presence and technical roles.</t>
  </si>
  <si>
    <t>Longer-shot for digital design, but still worth keeping on the board for serious hard-tech networking.</t>
  </si>
  <si>
    <t>https://typeoneenergy.com/home/</t>
  </si>
  <si>
    <t>https://typeoneenergy.com/careers/</t>
  </si>
  <si>
    <t>https://typeoneenergy.teamtailor.com/jobs</t>
  </si>
  <si>
    <t>Track Madison openings and keep this as a network target rather than a primary first outreach wave.</t>
  </si>
  <si>
    <t>Role keywords to search</t>
  </si>
  <si>
    <t>Contact target</t>
  </si>
  <si>
    <t>Notes</t>
  </si>
  <si>
    <t>Chicago / Schaumburg, IL</t>
  </si>
  <si>
    <t>Public safety communications / embedded / RF / cybersecurity</t>
  </si>
  <si>
    <t>Large Chicago-area hardware/software employer with radios, secure embedded systems, communications infrastructure, and an official careers funnel.</t>
  </si>
  <si>
    <t>Strong fit for embedded C/C++, FPGA/RTL, RF-adjacent systems, verification, and security-minded low-level work.</t>
  </si>
  <si>
    <t>https://www.motorolasolutions.com/</t>
  </si>
  <si>
    <t>https://www.motorolasolutions.com/en_us/about/careers.html</t>
  </si>
  <si>
    <t>https://motorolasolutions.wd5.myworkdayjobs.com/en-US/Careers</t>
  </si>
  <si>
    <t>Search Schaumburg for FPGA, embedded, test, firmware, cyber embedded; apply first, then message a UW alum/engineer.</t>
  </si>
  <si>
    <t>FPGA, embedded software, firmware, cyber embedded, C/C++, RF, verification</t>
  </si>
  <si>
    <t>Engineer or recruiter in Schaumburg embedded/FPGA org</t>
  </si>
  <si>
    <t>Top Chicago-area digital-hardware target.</t>
  </si>
  <si>
    <t>Rolling Meadows, IL</t>
  </si>
  <si>
    <t>Defense electronics / RF / electronic warfare / embedded systems</t>
  </si>
  <si>
    <t>Rolling Meadows is a major engineering site for navigation, targeting, and self-protection systems.</t>
  </si>
  <si>
    <t>Very strong technical match for RF systems, embedded, FPGA/RTL, verification, systems test, and hardware bring-up.</t>
  </si>
  <si>
    <t>https://www.northropgrumman.com/</t>
  </si>
  <si>
    <t>https://jobs.northropgrumman.com/</t>
  </si>
  <si>
    <t>https://www.northropgrumman.com/careers/northrop-grumman-in-rolling-meadows-illinois</t>
  </si>
  <si>
    <t>https://jobs.northropgrumman.com/locations/rolling-meadows-il/jobs/</t>
  </si>
  <si>
    <t>Search Rolling Meadows openings; be realistic about clearance requirements, but do not self-reject.</t>
  </si>
  <si>
    <t>FPGA, RF systems, embedded software, electronic warfare, test engineer, verification</t>
  </si>
  <si>
    <t>Early-career recruiter or RF/embedded engineer</t>
  </si>
  <si>
    <t>Lisle, IL</t>
  </si>
  <si>
    <t>Electronics connectivity / interconnect / data center / industrial automation</t>
  </si>
  <si>
    <t>Global electronics leader headquartered in the Chicago suburbs with exposure to automotive, data center, industrial automation, 5G, cloud, healthcare, and consumer devices.</t>
  </si>
  <si>
    <t>Good chip-adjacent path if you want high-speed hardware, connectors, optics, validation, signal integrity, and manufacturing-scale engineering.</t>
  </si>
  <si>
    <t>https://www.molex.com/</t>
  </si>
  <si>
    <t>https://www.molex.com/en-us/about/careers</t>
  </si>
  <si>
    <t>https://www.molex.com/en-us/about</t>
  </si>
  <si>
    <t>Search Lisle for electrical, signal integrity, validation, test, product development, and manufacturing engineering.</t>
  </si>
  <si>
    <t>electrical engineer, signal integrity, validation, test, product development, optics</t>
  </si>
  <si>
    <t>Engineer/recruiter in Lisle electronics group</t>
  </si>
  <si>
    <t>Very practical hardware employer.</t>
  </si>
  <si>
    <t>Niles, IL</t>
  </si>
  <si>
    <t>Audio electronics / wireless / embedded / firmware</t>
  </si>
  <si>
    <t>Niles-based audio electronics company with careers and internship programs; products include wireless systems and collaboration/audio technology.</t>
  </si>
  <si>
    <t>Good fit for embedded firmware, digital audio, RF/wireless, signal processing, test, and hardware-software product work.</t>
  </si>
  <si>
    <t>https://www.shure.com/</t>
  </si>
  <si>
    <t>https://www.shure.com/en-us/careers</t>
  </si>
  <si>
    <t>https://www.shure.com/en-us/careers/internships</t>
  </si>
  <si>
    <t>Search internships/open roles for firmware, embedded, DSP, RF, electrical, test; tailor outreach to audio + signal systems.</t>
  </si>
  <si>
    <t>firmware, embedded, DSP, RF, wireless, electrical engineer, test</t>
  </si>
  <si>
    <t>Firmware/electrical engineer or university recruiter</t>
  </si>
  <si>
    <t>More product-electronics than semiconductor, but high quality.</t>
  </si>
  <si>
    <t>Zebra Technologies</t>
  </si>
  <si>
    <t>Lincolnshire, IL</t>
  </si>
  <si>
    <t>Enterprise hardware / mobile computing / barcode/RFID / intelligent operations</t>
  </si>
  <si>
    <t>Chicago-area hardware/software company with intelligent operations products across retail, healthcare, manufacturing, logistics, and field operations.</t>
  </si>
  <si>
    <t>Useful for embedded devices, mobile hardware, RFID/scanning, Android/Linux systems, firmware, test, and hardware/software integration.</t>
  </si>
  <si>
    <t>https://www.zebra.com/us/en.html</t>
  </si>
  <si>
    <t>https://www.zebra.com/us/en/about-zebra/careers.html</t>
  </si>
  <si>
    <t>https://careers.zebra.com/careers?domain=zebra.com&amp;query=%2A</t>
  </si>
  <si>
    <t>Search Lincolnshire for firmware, embedded, hardware test, Linux, mobile computing, RFID/scanner roles.</t>
  </si>
  <si>
    <t>embedded, firmware, Linux, Android, RFID, barcode, hardware test</t>
  </si>
  <si>
    <t>Embedded/hardware engineer or product recruiter</t>
  </si>
  <si>
    <t>Good hardware-software systems company.</t>
  </si>
  <si>
    <t>S&amp;C Electric Company</t>
  </si>
  <si>
    <t>Chicago, IL</t>
  </si>
  <si>
    <t>Power grid hardware / controls / firmware / automation</t>
  </si>
  <si>
    <t>Chicago-based grid equipment company with official careers page and engineering/product roles.</t>
  </si>
  <si>
    <t>Relevant if you want controls, power electronics, protection systems, firmware, FPGA-adjacent industrial electronics, and fieldable hardware.</t>
  </si>
  <si>
    <t>https://www.sandc.com/</t>
  </si>
  <si>
    <t>https://www.sandc.com/en/careers/</t>
  </si>
  <si>
    <t>Search firmware, controls, electrical designer, protection systems, power electronics; message engineers in automation or product development.</t>
  </si>
  <si>
    <t>firmware, controls, power electronics, electrical, FPGA, protection systems</t>
  </si>
  <si>
    <t>Product development/firmware engineer</t>
  </si>
  <si>
    <t>Harder industrial path but real hardware.</t>
  </si>
  <si>
    <t>Littelfuse</t>
  </si>
  <si>
    <t>Circuit protection / power control / sensors / semiconductors</t>
  </si>
  <si>
    <t>Produces fuses, relays, semiconductors, switches, sensors, and power/protection components.</t>
  </si>
  <si>
    <t>Good chip-adjacent target for power semiconductor, sensing, applications engineering, validation, and product engineering.</t>
  </si>
  <si>
    <t>https://www.littelfuse.com/</t>
  </si>
  <si>
    <t>https://www.littelfuse.com/company/careers</t>
  </si>
  <si>
    <t>https://www.littelfuse.com/products</t>
  </si>
  <si>
    <t>Search semiconductors, sensors, power electronics, product/applications engineering; reach out around power/control interests.</t>
  </si>
  <si>
    <t>power electronics, semiconductor, sensors, applications engineering, validation</t>
  </si>
  <si>
    <t>Applications/product engineer</t>
  </si>
  <si>
    <t>Closer to components than systems; still relevant.</t>
  </si>
  <si>
    <t>Argonne National Laboratory</t>
  </si>
  <si>
    <t>Lemont, IL</t>
  </si>
  <si>
    <t>National lab / quantum / microelectronics / advanced computing</t>
  </si>
  <si>
    <t>Argonne offers careers and undergraduate research opportunities in a cutting-edge research environment, including quantum information science.</t>
  </si>
  <si>
    <t>Strong if you want photonics/quantum/computing-adjacent research exposure and serious lab credibility.</t>
  </si>
  <si>
    <t>https://www.anl.gov/</t>
  </si>
  <si>
    <t>https://www.anl.gov/hr/careers</t>
  </si>
  <si>
    <t>https://www.anl.gov/education/undergraduate-internship-opportunities</t>
  </si>
  <si>
    <t>https://www.anl.gov/quantum/qis-opportunities</t>
  </si>
  <si>
    <t>Track undergraduate internships and temporary roles; message researchers after reading a specific project page.</t>
  </si>
  <si>
    <t>quantum, microelectronics, photonics, computing, undergraduate internship, electronics</t>
  </si>
  <si>
    <t>Researcher, staff engineer, or internship coordinator</t>
  </si>
  <si>
    <t>Best as research/networking target.</t>
  </si>
  <si>
    <t>Fermilab</t>
  </si>
  <si>
    <t>Batavia, IL</t>
  </si>
  <si>
    <t>Particle physics lab / accelerator electronics / controls / instrumentation</t>
  </si>
  <si>
    <t>Fermilab builds and operates accelerator and detector facilities and has engineering, technology, computing, technical, and student programs.</t>
  </si>
  <si>
    <t>Good for electronics, controls, real-time systems, instrumentation, RF, scientific computing, and hardware-software integration.</t>
  </si>
  <si>
    <t>https://www.fnal.gov/</t>
  </si>
  <si>
    <t>https://jobs.fnal.gov/</t>
  </si>
  <si>
    <t>https://news.fnal.gov/2025/07/fermilab-partners-with-community-colleges-to-develop-technical-talent/</t>
  </si>
  <si>
    <t>Search student, electronics, controls, accelerator, detector, software, technician/engineering paths.</t>
  </si>
  <si>
    <t>electronics, controls, instrumentation, RF, detector, accelerator, real-time systems</t>
  </si>
  <si>
    <t>Engineer or student-program contact</t>
  </si>
  <si>
    <t>Good bridge between ECE and physics.</t>
  </si>
  <si>
    <t>Chamberlain Group</t>
  </si>
  <si>
    <t>Oak Brook / Elmhurst, IL</t>
  </si>
  <si>
    <t>Smart access / IoT / firmware / mobile + cloud</t>
  </si>
  <si>
    <t>Global intelligent access company powered by myQ with official careers page and local hybrid roles.</t>
  </si>
  <si>
    <t>Good product-company path for firmware, embedded, IoT devices, mobile/cloud integration, test, and product systems.</t>
  </si>
  <si>
    <t>https://chamberlaingroup.com/</t>
  </si>
  <si>
    <t>https://chamberlain.wd1.myworkdayjobs.com/Chamberlain_Group</t>
  </si>
  <si>
    <t>https://chamberlaingroup.com/careers</t>
  </si>
  <si>
    <t>Search firmware, hardware test, embedded, IoT, QA, mobile; mention interest in connected product systems.</t>
  </si>
  <si>
    <t>firmware, embedded, IoT, hardware test, mobile, myQ</t>
  </si>
  <si>
    <t>Firmware or hardware test engineer</t>
  </si>
  <si>
    <t>Good if you want practical connected-products work.</t>
  </si>
  <si>
    <t>Panduit</t>
  </si>
  <si>
    <t>Tinley Park, IL</t>
  </si>
  <si>
    <t>Electrical/network infrastructure / industrial wiring / connectivity</t>
  </si>
  <si>
    <t>Develops network infrastructure and industrial electrical wiring solutions from the data center to the plant floor.</t>
  </si>
  <si>
    <t>Chip-adjacent rather than chip-core; useful for industrial infrastructure, fiber, physical network products, test, and product engineering.</t>
  </si>
  <si>
    <t>https://www.panduit.com/</t>
  </si>
  <si>
    <t>https://www.panduit.com/en/about/careers.html</t>
  </si>
  <si>
    <t>https://www.panduit.com/en/about/about-panduit.html</t>
  </si>
  <si>
    <t>https://www.panduit.com/en/about/media-resources/panduit-announces-key-executive-appointments.html</t>
  </si>
  <si>
    <t>Search product/electrical/test roles; message product engineers if you find fiber/connectivity overlap.</t>
  </si>
  <si>
    <t>electrical, product engineer, fiber, network infrastructure, test</t>
  </si>
  <si>
    <t>Product/electrical engineer</t>
  </si>
  <si>
    <t>Secondary Chicago target.</t>
  </si>
  <si>
    <t>UL Solutions</t>
  </si>
  <si>
    <t>Northbrook, IL</t>
  </si>
  <si>
    <t>Electronics safety / EMC / wireless testing / certification</t>
  </si>
  <si>
    <t>Northbrook facility provides EMC and wireless testing for consumer and industrial electronics, medical devices, appliances, and lighting.</t>
  </si>
  <si>
    <t>Good entry point into test engineering, compliance, EMC, RF/wireless lab work, and product validation.</t>
  </si>
  <si>
    <t>https://www.ul.com/</t>
  </si>
  <si>
    <t>https://www.ul.com/careers</t>
  </si>
  <si>
    <t>https://www.ul.com/careers/internship</t>
  </si>
  <si>
    <t>https://www.ul.com/resources/northbrook-il-emc-and-wireless-laboratory</t>
  </si>
  <si>
    <t>Search Northbrook for lab engineer, EMC, wireless, electrical, certification, test; use it as validation/test pathway.</t>
  </si>
  <si>
    <t>EMC, wireless, test engineer, electrical, compliance, validation</t>
  </si>
  <si>
    <t>Lab/test engineer or early-careers recruiter</t>
  </si>
  <si>
    <t>Not design-heavy but excellent test credential.</t>
  </si>
  <si>
    <t>mHUB</t>
  </si>
  <si>
    <t>HardTech incubator / startup network / prototyping</t>
  </si>
  <si>
    <t>Chicago hardtech hub with prototyping labs, industry partnerships, and member-company career opportunities.</t>
  </si>
  <si>
    <t>Best ecosystem/networking target for finding small hardware startups before they post traditional roles.</t>
  </si>
  <si>
    <t>https://mhub.org/</t>
  </si>
  <si>
    <t>https://www.mhubchicago.com/careers/tag/member-company-career</t>
  </si>
  <si>
    <t>Monitor member-company roles; attend events; ask who is building electronics, robotics, sensing, IoT, or energy hardware.</t>
  </si>
  <si>
    <t>hardtech, electronics, robotics, sensing, IoT, prototyping, startup</t>
  </si>
  <si>
    <t>Member-company founder or program manager</t>
  </si>
  <si>
    <t>High-leverage networking board.</t>
  </si>
  <si>
    <t>Wabtec</t>
  </si>
  <si>
    <t>Buffalo Grove, IL</t>
  </si>
  <si>
    <t>Transportation systems / rail electronics / embedded software</t>
  </si>
  <si>
    <t>Wabtec has had Buffalo Grove embedded and manufacturing engineering roles; official careers page lists engineering/software/system roles.</t>
  </si>
  <si>
    <t>Worth tracking for embedded software, rail/transit systems, test, manufacturing engineering, and safety-critical product work.</t>
  </si>
  <si>
    <t>https://www.wabteccorp.com/</t>
  </si>
  <si>
    <t>https://careers.wabtec.com/</t>
  </si>
  <si>
    <t>https://www.wabteccorp.com/hiring</t>
  </si>
  <si>
    <t>Search Buffalo Grove for embedded/software/test/manufacturing engineer; secondary but real systems work.</t>
  </si>
  <si>
    <t>embedded, manufacturing engineer, systems engineer, rail, test</t>
  </si>
  <si>
    <t>Engineering recruiter or product engineer</t>
  </si>
  <si>
    <t>Secondary Chicago-area systems target.</t>
  </si>
  <si>
    <t>Milwaukee / Mequon, WI</t>
  </si>
  <si>
    <t>Industrial automation / controls / hardware + software</t>
  </si>
  <si>
    <t>Global industrial automation and digital transformation company with careers and student programs; job board shows Milwaukee/Mequon hardware engineering signals.</t>
  </si>
  <si>
    <t>Probably the single strongest Milwaukee target for controls, embedded, hardware, firmware, industrial networks, and systems engineering.</t>
  </si>
  <si>
    <t>https://www.rockwellautomation.com/en-us.html</t>
  </si>
  <si>
    <t>https://www.rockwellautomation.com/en-us/careers.html</t>
  </si>
  <si>
    <t>https://jobs.rockwellautomation.com/</t>
  </si>
  <si>
    <t>https://www.rockwellautomation.com/en-gb/careers/edge-student-early-career/edge-student-programs.html</t>
  </si>
  <si>
    <t>Search hardware, firmware, controls, embedded, Mequon/Milwaukee; apply and message UW/MSOE-connected engineers.</t>
  </si>
  <si>
    <t>hardware, firmware, controls, embedded, PLC, industrial automation, verification</t>
  </si>
  <si>
    <t>Hardware/controls engineer or campus recruiter</t>
  </si>
  <si>
    <t>Core Milwaukee target.</t>
  </si>
  <si>
    <t>Brookfield / Milwaukee, WI</t>
  </si>
  <si>
    <t>Power tools / embedded electronics / firmware / power electronics</t>
  </si>
  <si>
    <t>Electrical engineering roles explicitly include embedded systems, power electronics, motors, firmware, and system engineering; internships are mainly in Brookfield/Milwaukee.</t>
  </si>
  <si>
    <t>Elite practical fit for embedded C/C++, motor control, battery systems, power electronics, hardware/firmware integration, and fast product cycles.</t>
  </si>
  <si>
    <t>https://www.milwaukeetool.com/</t>
  </si>
  <si>
    <t>https://www.milwaukeetool.jobs/</t>
  </si>
  <si>
    <t>https://www.milwaukeetool.jobs/career-areas/engineering/electrical-engineering</t>
  </si>
  <si>
    <t>https://www.milwaukeetool.jobs/GradsAndInterns/Internships</t>
  </si>
  <si>
    <t>Search firmware, embedded, motor control, electrical, battery, test automation; send project-focused outreach.</t>
  </si>
  <si>
    <t>embedded C/C++, firmware, motor control, power electronics, battery, electrical, test automation</t>
  </si>
  <si>
    <t>Firmware/electrical engineer or early-careers recruiter</t>
  </si>
  <si>
    <t>Waukesha / West Milwaukee, WI</t>
  </si>
  <si>
    <t>Medical imaging / detectors / software + hardware systems</t>
  </si>
  <si>
    <t>GE HealthCare has engineering/technology and early-career funnels with Wisconsin imaging/manufacturing signals.</t>
  </si>
  <si>
    <t>Good systems employer for medical imaging, detector hardware, image processing, software, manufacturing engineering, and regulated product development.</t>
  </si>
  <si>
    <t>https://www.gehealthcare.com/</t>
  </si>
  <si>
    <t>https://careers.gehealthcare.com/</t>
  </si>
  <si>
    <t>https://careers.gehealthcare.com/global/en/c/engineering-technology-jobs</t>
  </si>
  <si>
    <t>https://careers.gehealthcare.com/global/en/entry-level-opportunities</t>
  </si>
  <si>
    <t>Search Waukesha/West Milwaukee for engineering, imaging, detector, software, manufacturing, quality/test.</t>
  </si>
  <si>
    <t>medical imaging, software, detector, manufacturing engineer, test, regulated systems</t>
  </si>
  <si>
    <t>Engineering recruiter or imaging systems engineer</t>
  </si>
  <si>
    <t>Leonardo DRS Naval Power Systems</t>
  </si>
  <si>
    <t>Menomonee Falls, WI</t>
  </si>
  <si>
    <t>Defense power systems / motor controls / automation / embedded</t>
  </si>
  <si>
    <t>Menomonee Falls site houses design, test, and manufacturing for naval power distribution, power conversion, motor controls, drives, and automation/control equipment.</t>
  </si>
  <si>
    <t>Strong fit for power electronics, embedded controls, C/C++, electrical engineering, test, and defense hardware.</t>
  </si>
  <si>
    <t>https://www.leonardodrs.com/</t>
  </si>
  <si>
    <t>https://careers.leonardodrs.com/</t>
  </si>
  <si>
    <t>https://www.leonardodrs.com/locations/naval-power-systems-menomonee-falls-wi/</t>
  </si>
  <si>
    <t>Search Menomonee Falls for software engineer, electrical engineering tech, power conversion, controls; be aware of defense constraints.</t>
  </si>
  <si>
    <t>embedded, C/C++, power conversion, motor controls, drives, automation, electrical</t>
  </si>
  <si>
    <t>Engineering recruiter or power systems engineer</t>
  </si>
  <si>
    <t>Serious hardware, less student-access friendly.</t>
  </si>
  <si>
    <t>Astronautics Corporation of America</t>
  </si>
  <si>
    <t>Oak Creek / Milwaukee, WI</t>
  </si>
  <si>
    <t>Avionics / aerospace electronics / mission systems</t>
  </si>
  <si>
    <t>Designs and manufactures avionics solutions including flight deck avionics, connectivity, cybersecurity, mission communications, and software development.</t>
  </si>
  <si>
    <t>Excellent path for embedded software, avionics, safety-critical systems, displays, cybersecurity, systems engineering, and verification.</t>
  </si>
  <si>
    <t>https://www.astronautics.com/</t>
  </si>
  <si>
    <t>https://www.astronautics.com/careers/</t>
  </si>
  <si>
    <t>https://www.astronautics.com/astronautics-achieving-hardware-milestone-for-its-connectivity-solution/</t>
  </si>
  <si>
    <t>Search avionics software, systems, cybersecurity, electrical, verification; tailor around safety-critical systems.</t>
  </si>
  <si>
    <t>avionics, embedded software, cybersecurity, systems, displays, verification</t>
  </si>
  <si>
    <t>Avionics/software engineer or recruiter</t>
  </si>
  <si>
    <t>High-quality Milwaukee-area aerospace target.</t>
  </si>
  <si>
    <t>Power systems / embedded controls / firmware / energy tech</t>
  </si>
  <si>
    <t>Energy technology company with roles in firmware, controls, power electronics, product compliance, and co-op/intern programs.</t>
  </si>
  <si>
    <t>Very strong for embedded controls, firmware, power generation, power electronics, validation, and hardware/software integrated systems.</t>
  </si>
  <si>
    <t>https://www.generac.com/</t>
  </si>
  <si>
    <t>https://www.generac.com/about/careers/</t>
  </si>
  <si>
    <t>https://careers.generac.com/en/jobs/jr13290/firmware-engineer-ii/</t>
  </si>
  <si>
    <t>https://careers.generac.com/en/jobs/jr13037/staff-automation-and-validation-engineer/</t>
  </si>
  <si>
    <t>Search Waukesha for firmware, controls, validation, power electronics, lab/test, co-op/intern; emphasize real-product interest.</t>
  </si>
  <si>
    <t>firmware, embedded controls, power electronics, validation, lab test, C/C++</t>
  </si>
  <si>
    <t>Firmware/controls engineer or early-careers recruiter</t>
  </si>
  <si>
    <t>Strong practical embedded target.</t>
  </si>
  <si>
    <t>Johnson Controls</t>
  </si>
  <si>
    <t>Glendale / Milwaukee, WI</t>
  </si>
  <si>
    <t>Building automation / controls / software / industrial systems</t>
  </si>
  <si>
    <t>Careers include early-career tracks and roles around building automation systems, software, controls, and data-center engineering.</t>
  </si>
  <si>
    <t>Good fit for controls, BAS/BMS, industrial networking, software, embedded-adjacent systems, and customer-facing systems engineering.</t>
  </si>
  <si>
    <t>https://www.johnsoncontrols.com/</t>
  </si>
  <si>
    <t>https://jobs.johnsoncontrols.com/</t>
  </si>
  <si>
    <t>https://jobs.johnsoncontrols.com/early-careers-north-america</t>
  </si>
  <si>
    <t>https://jobs.johnsoncontrols.com/job/WD30270943</t>
  </si>
  <si>
    <t>Search Glendale/Milwaukee for controls, BAS, BMS, software, intern/co-op; do not ignore service/application paths.</t>
  </si>
  <si>
    <t>controls, BAS, BMS, software, systems, automation, intern</t>
  </si>
  <si>
    <t>Controls/software engineer or early-careers recruiter</t>
  </si>
  <si>
    <t>Very accessible Milwaukee target.</t>
  </si>
  <si>
    <t>Badger Meter</t>
  </si>
  <si>
    <t>Brown Deer / Milwaukee, WI</t>
  </si>
  <si>
    <t>Flow measurement / water quality / smart connected infrastructure / IoT</t>
  </si>
  <si>
    <t>Milwaukee-area manufacturer of flow measurement, water quality, and control products with IoT/network-connected infrastructure signals.</t>
  </si>
  <si>
    <t>Good embedded/IoT/product-systems path through sensors, connectivity, metering, field devices, manufacturing/test, and data-enabled hardware.</t>
  </si>
  <si>
    <t>https://www.badgermeter.com/</t>
  </si>
  <si>
    <t>https://www.badgermeter.com/company/careers</t>
  </si>
  <si>
    <t>Search careers for embedded, firmware, electrical, test, IoT, product engineering, manufacturing engineering.</t>
  </si>
  <si>
    <t>embedded, IoT, sensors, metering, firmware, test, product engineer</t>
  </si>
  <si>
    <t>Electrical/product engineer</t>
  </si>
  <si>
    <t>Good under-the-radar Wisconsin hardware company.</t>
  </si>
  <si>
    <t>Komatsu</t>
  </si>
  <si>
    <t>Milwaukee, WI</t>
  </si>
  <si>
    <t>Mining equipment / autonomy / electric systems / industrial hardware</t>
  </si>
  <si>
    <t>Komatsu has a Milwaukee South Harbor presence and smart mining/autonomous equipment technology.</t>
  </si>
  <si>
    <t>Useful for autonomy, embedded/controls, industrial networking, power systems, heavy equipment, and engineering operations.</t>
  </si>
  <si>
    <t>https://www.komatsu.com/en-us</t>
  </si>
  <si>
    <t>https://www.komatsu.com/en-us/careers</t>
  </si>
  <si>
    <t>https://www.komatsu.com/en-us/technology/smart-mining</t>
  </si>
  <si>
    <t>https://www.komatsu.com/en-us/newsroom/2023/komatsu-moves-into-new-south-harbor-home</t>
  </si>
  <si>
    <t>Search Milwaukee for electrical, controls, automation, software, product support, test, systems roles.</t>
  </si>
  <si>
    <t>controls, autonomy, electrical, embedded, industrial networking, mining</t>
  </si>
  <si>
    <t>Controls/electrical engineer</t>
  </si>
  <si>
    <t>Strong industrial systems; not pure ECE but useful.</t>
  </si>
  <si>
    <t>Brady Corporation</t>
  </si>
  <si>
    <t>Identification / RFID / printers / industrial traceability</t>
  </si>
  <si>
    <t>Milwaukee company with products around industrial identification, traceability, printers, RFID scanners, and software.</t>
  </si>
  <si>
    <t>Good for RFID, scanners, printer hardware, firmware, embedded software, manufacturing systems, and industrial automation-adjacent work.</t>
  </si>
  <si>
    <t>https://www.bradyid.com/</t>
  </si>
  <si>
    <t>https://www.bradyid.com/corporate/careers</t>
  </si>
  <si>
    <t>https://www.bradyid.com/intelligent-manufacturing/what-is-rfid</t>
  </si>
  <si>
    <t>Search RFID, firmware, printer, scanner, software, electrical, product/test engineering.</t>
  </si>
  <si>
    <t>RFID, firmware, scanner, printer, software, electrical, product test</t>
  </si>
  <si>
    <t>Product/firmware engineer</t>
  </si>
  <si>
    <t>Worth a practical outreach shot.</t>
  </si>
  <si>
    <t>Harley-Davidson</t>
  </si>
  <si>
    <t>Vehicle systems / electrical / connected products / manufacturing</t>
  </si>
  <si>
    <t>Milwaukee icon with engineering, internships/co-ops, and vehicle/product systems roles.</t>
  </si>
  <si>
    <t>Relevant for embedded/electrical vehicle systems, connected product work, controls, test, manufacturing engineering, and EV-adjacent paths.</t>
  </si>
  <si>
    <t>https://www.harley-davidson.com/us/en/index.html</t>
  </si>
  <si>
    <t>https://jobs.harley-davidson.com/</t>
  </si>
  <si>
    <t>https://www.harley-davidson.com/us/en/about-us/careers.html</t>
  </si>
  <si>
    <t>Search engineering, electrical, connected, software, validation, manufacturing; use internship/co-op angle.</t>
  </si>
  <si>
    <t>electrical, vehicle systems, embedded, connected, validation, manufacturing</t>
  </si>
  <si>
    <t>Engineering recruiter or electrical systems engineer</t>
  </si>
  <si>
    <t>Less direct than Milwaukee Tool but strong brand.</t>
  </si>
  <si>
    <t>Regal Rexnord</t>
  </si>
  <si>
    <t>Industrial powertrain / motors / controls / automation</t>
  </si>
  <si>
    <t>Milwaukee-headquartered industrial company with engineering and production opportunities; roles include application and controls engineering.</t>
  </si>
  <si>
    <t>Good for motors, drives, controls, industrial automation, application engineering, and manufacturing-facing engineering.</t>
  </si>
  <si>
    <t>https://www.regalrexnord.com/</t>
  </si>
  <si>
    <t>https://careers.regalrexnord.com/en/</t>
  </si>
  <si>
    <t>https://careers.regalrexnord.com/en/jobs/r26_02137/application-engineer-ii/</t>
  </si>
  <si>
    <t>Search Milwaukee for controls, application engineer, electrical, automation, motors, drives.</t>
  </si>
  <si>
    <t>controls, motors, drives, automation, application engineer, electrical</t>
  </si>
  <si>
    <t>Applications/controls engineer</t>
  </si>
  <si>
    <t>Good secondary industrial target.</t>
  </si>
  <si>
    <t>Eaton</t>
  </si>
  <si>
    <t>Menomonee Falls / Milwaukee area, WI</t>
  </si>
  <si>
    <t>Power management / drives / industrial controls</t>
  </si>
  <si>
    <t>Eaton has power management careers and industrial control/division support in Menomonee Falls.</t>
  </si>
  <si>
    <t>Useful for VFDs, drives, power electronics, industrial controls, test, and applications engineering.</t>
  </si>
  <si>
    <t>https://www.eaton.com/us/en-us.html</t>
  </si>
  <si>
    <t>https://www.eaton.com/us/en-us/company/careers.html</t>
  </si>
  <si>
    <t>https://www.eaton.com/us/en-us/products/controls-drives-automation-sensors/variable-frequency-drives/eaton-s-variable-frequency-drives-aftermarket-support.html</t>
  </si>
  <si>
    <t>Search Menomonee Falls/Milwaukee for electrical, controls, drives, firmware, test, applications engineering.</t>
  </si>
  <si>
    <t>VFD, drives, controls, power management, electrical, test, applications</t>
  </si>
  <si>
    <t>Controls/applications engineer</t>
  </si>
  <si>
    <t>Secondary but thematically aligned.</t>
  </si>
  <si>
    <t>Snap-on</t>
  </si>
  <si>
    <t>Kenosha, WI</t>
  </si>
  <si>
    <t>Diagnostics / tool systems / equipment / manufacturing</t>
  </si>
  <si>
    <t>Kenosha-headquartered company with diagnostics, equipment, tools, and repair information systems.</t>
  </si>
  <si>
    <t>Potential route through diagnostics tools, embedded/software, manufacturing engineering, electronics, and product support.</t>
  </si>
  <si>
    <t>https://www.snapon.com/</t>
  </si>
  <si>
    <t>https://www.snapon.com/EN/Careers</t>
  </si>
  <si>
    <t>https://www.snapon.com/EN/Contact-us</t>
  </si>
  <si>
    <t>Search Kenosha for software, electronics, diagnostics, manufacturing engineer, product/test roles.</t>
  </si>
  <si>
    <t>diagnostics, software, electronics, test, manufacturing engineer</t>
  </si>
  <si>
    <t>Diagnostics/product engineer</t>
  </si>
  <si>
    <t>Geographically between Milwaukee/Chicago; useful bridge target.</t>
  </si>
  <si>
    <t>Contact / role</t>
  </si>
  <si>
    <t>Where found</t>
  </si>
  <si>
    <t>Date sent</t>
  </si>
  <si>
    <t>Response</t>
  </si>
  <si>
    <t>Next step</t>
  </si>
  <si>
    <t>No reply yet</t>
  </si>
  <si>
    <t>Cold outreach template — customize before sending</t>
  </si>
  <si>
    <t>Subject line options</t>
  </si>
  <si>
    <t>UW–Madison computer engineering student interested in [Company]
Quick question from a UW–Madison embedded / FPGA student
Aspiring hardware engineer interested in your [firmware / controls / digital design] team</t>
  </si>
  <si>
    <t>Email / LinkedIn note</t>
  </si>
  <si>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</si>
  <si>
    <t>5-minute customization checklist</t>
  </si>
  <si>
    <t>1) Mention one real company detail.
2) Mention one relevant project/class: SystemVerilog, embedded, FPGA, circuits, PSoC6, etc.
3) Ask for advice or a short conversation, not a job.
4) Keep it under 170 words.
5) Log it in Tracker_Blank immediately.</t>
  </si>
  <si>
    <t>Technical hooks by target type</t>
  </si>
  <si>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</si>
  <si>
    <t>Follow-up message</t>
  </si>
  <si>
    <t>Hi [Name], just following up on this. I’m trying to learn the Chicago/Milwaukee hardware and embedded landscape, and I’d really appreciate any quick advice or pointers if you have time. Thank you again — Adam</t>
  </si>
  <si>
    <t>Do not overthink rule</t>
  </si>
  <si>
    <t>Send the message once it is specific, respectful, and technically grounded. Perfect wording is not the edge; volume + follow-up + action is the edge.</t>
  </si>
  <si>
    <t>Resource</t>
  </si>
  <si>
    <t>Why it matters</t>
  </si>
  <si>
    <t>URL / Search string</t>
  </si>
  <si>
    <t>Official company careers pages</t>
  </si>
  <si>
    <t>Primary source for open roles; search by location + keyword.</t>
  </si>
  <si>
    <t>Use company URLs in Regional_Targets.</t>
  </si>
  <si>
    <t>LinkedIn alumni search</t>
  </si>
  <si>
    <t>Find UW–Madison, MATC, MSOE, UIUC, and Milwaukee School of Engineering engineers at each target.</t>
  </si>
  <si>
    <t>Search: site:linkedin.com/in "Company" "UW-Madison" "embedded"</t>
  </si>
  <si>
    <t>Built In Chicago</t>
  </si>
  <si>
    <t>Useful for Chicago tech/hardware/software roles and recent postings.</t>
  </si>
  <si>
    <t>https://www.builtinchicago.org/jobs</t>
  </si>
  <si>
    <t>mHUB member-company careers</t>
  </si>
  <si>
    <t>Find hardtech startup roles that may not be on huge job boards.</t>
  </si>
  <si>
    <t>Rockwell job board</t>
  </si>
  <si>
    <t>High-priority Milwaukee/Mequon hardware, controls, embedded, and student roles.</t>
  </si>
  <si>
    <t>Milwaukee Tool engineering</t>
  </si>
  <si>
    <t>High-priority Brookfield/Milwaukee embedded, firmware, power electronics, and motor-control roles.</t>
  </si>
  <si>
    <t>Argonne undergraduate internships</t>
  </si>
  <si>
    <t>Research and lab route near Chicago.</t>
  </si>
  <si>
    <t>Fermilab jobs</t>
  </si>
  <si>
    <t>Chicago-area lab route for controls, electronics, instrumentation, software.</t>
  </si>
  <si>
    <t>Daily search string</t>
  </si>
  <si>
    <t>Use this for job boards.</t>
  </si>
  <si>
    <t>(embedded OR firmware OR FPGA OR RTL OR electrical OR validation OR controls) (Chicago OR Schaumburg OR Rolling Meadows OR Milwaukee OR Brookfield OR Waukesha OR Menomonee Falls)</t>
  </si>
  <si>
    <t>Cold outreach search string</t>
  </si>
  <si>
    <t>Use this for LinkedIn search.</t>
  </si>
  <si>
    <t>(firmware OR embedded OR FPGA OR hardware OR controls) engineer "UW-Madison" "Milwaukee"</t>
  </si>
  <si>
    <t>Day</t>
  </si>
  <si>
    <t>Theme</t>
  </si>
  <si>
    <t>Output</t>
  </si>
  <si>
    <t>Done?</t>
  </si>
  <si>
    <t>Milwaukee core</t>
  </si>
  <si>
    <t>Open Rockwell, Milwaukee Tool, Generac, Astronautics, and GE HealthCare career pages.</t>
  </si>
  <si>
    <t>5 saved role links + 5 LinkedIn people</t>
  </si>
  <si>
    <t>Milwaukee outreach</t>
  </si>
  <si>
    <t>Apply to 2 roles if credible; message 4 engineers/recruiters.</t>
  </si>
  <si>
    <t>2 applications + 4 messages logged</t>
  </si>
  <si>
    <t>Chicago core</t>
  </si>
  <si>
    <t>Open Motorola, Northrop, Molex, Shure, Zebra career pages.</t>
  </si>
  <si>
    <t>Chicago outreach</t>
  </si>
  <si>
    <t>Research/network</t>
  </si>
  <si>
    <t>Scan Argonne, Fermilab, mHUB; find one event/program/person each.</t>
  </si>
  <si>
    <t>3 network targets</t>
  </si>
  <si>
    <t>Application polish</t>
  </si>
  <si>
    <t>Create one embedded/hardware resume variant and one controls/power variant.</t>
  </si>
  <si>
    <t>2 resume variants</t>
  </si>
  <si>
    <t>Follow-up prep</t>
  </si>
  <si>
    <t>Check tracker, schedule follow-ups, refine notes based on responses.</t>
  </si>
  <si>
    <t>Follow-up list filled</t>
  </si>
  <si>
    <t>Milwaukee second wave</t>
  </si>
  <si>
    <t>Hit Badger Meter, Johnson Controls, Brady, Harley, Eaton/Regal.</t>
  </si>
  <si>
    <t>5 saved roles + 5 contacts</t>
  </si>
  <si>
    <t>Chicago second wave</t>
  </si>
  <si>
    <t>Hit S&amp;C, Littelfuse, UL, Chamberlain, Panduit, Wabtec.</t>
  </si>
  <si>
    <t>6 saved roles + 6 contacts</t>
  </si>
  <si>
    <t>Alumni mining</t>
  </si>
  <si>
    <t>Search UW/MSOE/MATC alumni at top 10 companies.</t>
  </si>
  <si>
    <t>10 named people</t>
  </si>
  <si>
    <t>Project alignment</t>
  </si>
  <si>
    <t>Map PSoC6/FPGA project bullets to role keywords.</t>
  </si>
  <si>
    <t>10 tailored bullets</t>
  </si>
  <si>
    <t>Apply/message</t>
  </si>
  <si>
    <t>Send another 3 applications and 6 messages.</t>
  </si>
  <si>
    <t>9 actions logged</t>
  </si>
  <si>
    <t>Follow-up</t>
  </si>
  <si>
    <t>Follow up with anyone from Day 2–4 who has not replied.</t>
  </si>
  <si>
    <t>Follow-ups sent</t>
  </si>
  <si>
    <t>Review</t>
  </si>
  <si>
    <t>Sort by responses and fit; decide top 5 companies to pursue next week.</t>
  </si>
  <si>
    <t>Next-week priority list</t>
  </si>
  <si>
    <t/>
  </si>
  <si>
    <t>Undergraduate studies chair, js lookin for info atm</t>
  </si>
  <si>
    <t>wait for reply</t>
  </si>
  <si>
    <t>General</t>
  </si>
  <si>
    <t>N/A</t>
  </si>
  <si>
    <t>Azadeh Davoodi</t>
  </si>
  <si>
    <t>W guy, just lookin for info.</t>
  </si>
  <si>
    <t>Joshua San Miguel</t>
  </si>
  <si>
    <t>CompArch guy, idek if he does research. Whatever.</t>
  </si>
  <si>
    <t>Georgios Tzimpragoz</t>
  </si>
  <si>
    <t>General info, I imagine I'll get a reply.</t>
  </si>
  <si>
    <t>Julie Hsiao</t>
  </si>
  <si>
    <t>My literaly advisor, mf better reply on the third email</t>
  </si>
  <si>
    <t>n/A</t>
  </si>
  <si>
    <t>Tsung Wei-Huang</t>
  </si>
  <si>
    <t>5/2/2026, 06/01/2026</t>
  </si>
  <si>
    <t>Daniel Van Der Weide</t>
  </si>
  <si>
    <t>asked for general info, not expecting a reply. Ok dope, instant response. Following up is of chief importance, DON’T BE A PUSSY. Schedule the meeting</t>
  </si>
  <si>
    <t>Parmesh Ramanathan</t>
  </si>
  <si>
    <t>Date Sent</t>
  </si>
  <si>
    <t>Research Area</t>
  </si>
  <si>
    <t>Lab</t>
  </si>
  <si>
    <t>Professor</t>
  </si>
  <si>
    <t>Outreach tracker</t>
  </si>
  <si>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</si>
  <si>
    <t>Epic Technologies</t>
  </si>
  <si>
    <t>Medical Software</t>
  </si>
  <si>
    <t>Damn near highest market cap outta wisconsin</t>
  </si>
  <si>
    <t>Goated software company, shipping things that matter, I imagine immense equity deals as well</t>
  </si>
  <si>
    <t>(7/31/26)</t>
  </si>
  <si>
    <t>Applied for 2027 summer internship</t>
  </si>
  <si>
    <t>N/A, no positions</t>
  </si>
  <si>
    <t>No positions, but still sent a resume and cover letter.</t>
  </si>
  <si>
    <t>No positions, I'll check back.</t>
  </si>
  <si>
    <t>No positions, though I did submit a google form so ill be on the look out for responses to that.</t>
  </si>
  <si>
    <t>No Positions.</t>
  </si>
  <si>
    <t>Alphabet Inc</t>
  </si>
  <si>
    <t>US</t>
  </si>
  <si>
    <t>errything</t>
  </si>
  <si>
    <t>Applied for research internship off of handshake</t>
  </si>
  <si>
    <t>Core Milwaukee target. No pertinent position on website.</t>
  </si>
  <si>
    <t>Strong if you want serious systems + software. No pertinent position on website.</t>
  </si>
  <si>
    <t>America Family Insurance</t>
  </si>
  <si>
    <t>Insurance services</t>
  </si>
  <si>
    <t>08/05/25 No positions</t>
  </si>
  <si>
    <t>Usventure</t>
  </si>
  <si>
    <t>Column1</t>
  </si>
  <si>
    <t>applied to internship</t>
  </si>
  <si>
    <t>Great signal if you want serious defense electronics. APPLIED!</t>
  </si>
  <si>
    <t>Appleton</t>
  </si>
  <si>
    <t>Appleton, WI</t>
  </si>
  <si>
    <t>Austin</t>
  </si>
  <si>
    <t>Base Core power</t>
  </si>
  <si>
    <t>Austin, TX</t>
  </si>
  <si>
    <t>Hardware engineering internship</t>
  </si>
  <si>
    <t>Data science internship</t>
  </si>
  <si>
    <t>8/5/2026</t>
  </si>
  <si>
    <t>nightwing</t>
  </si>
  <si>
    <t>TSC</t>
  </si>
  <si>
    <t>Plymouth, MA</t>
  </si>
  <si>
    <t>Nvidia</t>
  </si>
  <si>
    <t>idk</t>
  </si>
  <si>
    <t>Software engineering internship</t>
  </si>
  <si>
    <t>applied to brazil internship kinda dum whateva.</t>
  </si>
  <si>
    <t>CMC</t>
  </si>
  <si>
    <t>Data Science</t>
  </si>
  <si>
    <t>applied for data center software engineering role.</t>
  </si>
  <si>
    <t>Optiver</t>
  </si>
  <si>
    <t>international mane</t>
  </si>
  <si>
    <t>Quant FPGA engineer</t>
  </si>
  <si>
    <t>IMC</t>
  </si>
  <si>
    <t>Infineon Embedded system eng internshi</t>
  </si>
  <si>
    <t>Infineon</t>
  </si>
  <si>
    <t>San Jose, CA</t>
  </si>
  <si>
    <t>US Venture</t>
  </si>
  <si>
    <t>Electrical Engineering intern</t>
  </si>
  <si>
    <t>Cambium</t>
  </si>
  <si>
    <t>ML internship</t>
  </si>
  <si>
    <t>1234ghjkasdf!A</t>
  </si>
  <si>
    <t>???</t>
  </si>
  <si>
    <t>Rejected</t>
  </si>
  <si>
    <t>Invited to take assessment</t>
  </si>
  <si>
    <t>RESPONSE</t>
  </si>
  <si>
    <t>rejected</t>
  </si>
  <si>
    <t>come back in september</t>
  </si>
  <si>
    <t>APPLIED FOR JR. ASIC ENGINEER ROLE</t>
  </si>
  <si>
    <t>no internships</t>
  </si>
  <si>
    <t>No internship opportunities</t>
  </si>
  <si>
    <t>Reno, NV</t>
  </si>
  <si>
    <t>Teal - AI Job Search</t>
  </si>
  <si>
    <t>RTX</t>
  </si>
  <si>
    <t>Electronic Threatre Controls</t>
  </si>
  <si>
    <t>SOFTWARE DEV INTERN APPLIED</t>
  </si>
  <si>
    <t>ELECTRONICS DEV  PNTERN APPLIED</t>
  </si>
  <si>
    <t>HARDWARE SYSTEMS DEV detectors / Medical NTERN APPLIED</t>
  </si>
  <si>
    <t>EMBEDDED DEVNTERN APPLIED</t>
  </si>
  <si>
    <t>SYSTEMS DEV aerospace ANTERN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</si>
</sst>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sz val="11"/>
      <color theme="1"/>
      <name val="Calibri"/>
      <family val="2"/>
      <scheme val="minor"/>
    </font>
    <font>
      <sz val="11"/>
      <color theme="1"/>
      <name val="Calibri"/>
      <family val="2"/>
      <scheme val="minor"/>
    </font>
    <font>
      <b/>
      <sz val="16"/>
      <color rgb="FFFFFFFF"/>
      <name val="Carlito"/>
    </font>
    <font>
      <b/>
      <sz val="11"/>
      <color rgb="FFFFFFFF"/>
      <name val="Carlito"/>
    </font>
    <font>
      <sz val="11"/>
      <color rgb="FF000000"/>
      <name val="Calibri"/>
    </font>
    <font>
      <sz val="11"/>
      <color rgb="FF008000"/>
      <name val="Calibri"/>
    </font>
    <font>
      <sz val="11"/>
      <color rgb="FF008000"/>
      <name val="Calibri"/>
      <family val="2"/>
    </font>
    <font>
      <b/>
      <sz val="11"/>
      <color rgb="FFFFFFFF"/>
      <name val="Calibri"/>
    </font>
    <font>
      <b/>
      <sz val="11"/>
      <color rgb="FFFFFFFF"/>
      <name val="Calibri"/>
      <family val="2"/>
    </font>
    <font>
      <b/>
      <sz val="14"/>
      <color rgb="FFFFFFFF"/>
      <name val="Calibri"/>
    </font>
    <font>
      <b/>
      <sz val="11"/>
      <name val="Carlito"/>
    </font>
    <font>
      <b/>
      <sz val="11"/>
      <color theme="1"/>
      <name val="Carlito"/>
    </font>
    <font>
      <sz val="12"/>
      <color rgb="FF99C8E5"/>
      <name val="Segoe UI"/>
      <family val="2"/>
    </font>
    <font>
      <u/>
      <sz val="11"/>
      <color theme="10"/>
      <name val="Carlito"/>
    </font>
  </fonts>
  <fills count="4">
    <fill>
      <patternFill patternType="none"/>
    </fill>
    <fill>
      <patternFill patternType="gray125"/>
    </fill>
    <fill>
      <patternFill patternType="solid">
        <fgColor rgb="FF0F172A"/>
      </patternFill>
    </fill>
    <fill>
      <patternFill patternType="solid">
        <fgColor rgb="FF1F4E78"/>
      </patternFill>
    </fill>
  </fills>
  <borders count="4">
    <border>
      <left/>
      <right/>
      <top/>
      <bottom/>
      <diagonal/>
    </border>
    <border>
      <left/>
      <right/>
      <top/>
      <bottom/>
      <diagonal/>
    </border>
    <border>
      <left/>
      <right/>
      <top style="double">
        <color theme="4"/>
      </top>
      <bottom style="thin">
        <color theme="4" tint="0.39997558519241921"/>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0" fontId="2" fillId="0" borderId="1"/>
    <xf numFmtId="0" fontId="14" fillId="0" borderId="0" applyNumberFormat="0" applyFill="0" applyBorder="0" applyAlignment="0" applyProtection="0"/>
  </cellStyleXfs>
  <cellXfs count="33">
    <xf numFmtId="0" fontId="0" fillId="0" borderId="0" xfId="0"/>
    <xf numFmtId="0" fontId="4" fillId="3" borderId="0" xfId="0" applyFont="1" applyFill="1" applyAlignment="1">
      <alignment horizontal="center" wrapText="1"/>
    </xf>
    <xf numFmtId="0" fontId="0" fillId="0" borderId="0" xfId="0" applyAlignment="1">
      <alignment vertical="top"/>
    </xf>
    <xf numFmtId="0" fontId="0" fillId="0" borderId="0" xfId="0" applyAlignment="1">
      <alignment vertical="top" wrapText="1"/>
    </xf>
    <xf numFmtId="0" fontId="4" fillId="3" borderId="0" xfId="0" applyFont="1" applyFill="1" applyAlignment="1">
      <alignment horizontal="center" vertical="top"/>
    </xf>
    <xf numFmtId="0" fontId="4" fillId="3" borderId="0" xfId="0" applyFont="1" applyFill="1" applyAlignment="1">
      <alignment horizontal="center" vertical="top" wrapText="1"/>
    </xf>
    <xf numFmtId="164" fontId="0" fillId="0" borderId="0" xfId="0" applyNumberFormat="1" applyAlignment="1">
      <alignment vertical="top" wrapText="1"/>
    </xf>
    <xf numFmtId="1" fontId="0" fillId="0" borderId="0" xfId="0" applyNumberFormat="1" applyAlignment="1">
      <alignment vertical="top" wrapText="1"/>
    </xf>
    <xf numFmtId="0" fontId="2" fillId="0" borderId="1" xfId="1"/>
    <xf numFmtId="0" fontId="2" fillId="0" borderId="1" xfId="1" applyAlignment="1">
      <alignment vertical="top" wrapText="1"/>
    </xf>
    <xf numFmtId="164" fontId="5" fillId="0" borderId="1" xfId="1" applyNumberFormat="1" applyFont="1" applyAlignment="1">
      <alignment vertical="top" wrapText="1"/>
    </xf>
    <xf numFmtId="164" fontId="2" fillId="0" borderId="1" xfId="1" applyNumberFormat="1" applyAlignment="1">
      <alignment vertical="top" wrapText="1"/>
    </xf>
    <xf numFmtId="0" fontId="6" fillId="0" borderId="1" xfId="1" applyFont="1" applyAlignment="1">
      <alignment vertical="top" wrapText="1"/>
    </xf>
    <xf numFmtId="0" fontId="7" fillId="0" borderId="1" xfId="1" applyFont="1" applyAlignment="1">
      <alignment vertical="top" wrapText="1"/>
    </xf>
    <xf numFmtId="0" fontId="8" fillId="3" borderId="1" xfId="1" applyFont="1" applyFill="1"/>
    <xf numFmtId="0" fontId="9" fillId="3" borderId="1" xfId="1" applyFont="1" applyFill="1"/>
    <xf numFmtId="0" fontId="1" fillId="0" borderId="1" xfId="1" applyFont="1" applyAlignment="1">
      <alignment vertical="top" wrapText="1"/>
    </xf>
    <xf numFmtId="14" fontId="0" fillId="0" borderId="0" xfId="0" applyNumberFormat="1"/>
    <xf numFmtId="0" fontId="11" fillId="0" borderId="0" xfId="0" applyFont="1"/>
    <xf numFmtId="0" fontId="12" fillId="0" borderId="2" xfId="0" applyFont="1" applyBorder="1"/>
    <xf numFmtId="0" fontId="12" fillId="0" borderId="3" xfId="0" applyFont="1" applyBorder="1"/>
    <xf numFmtId="14" fontId="11" fillId="0" borderId="0" xfId="0" applyNumberFormat="1" applyFont="1"/>
    <xf numFmtId="0" fontId="13" fillId="0" borderId="0" xfId="0" applyFont="1"/>
    <xf numFmtId="0" fontId="14" fillId="0" borderId="0" xfId="2"/>
    <xf numFmtId="0" fontId="11" fillId="0" borderId="0" xfId="0" applyFont="1" applyAlignment="1">
      <alignment horizontal="right"/>
    </xf>
    <xf numFmtId="14" fontId="0" fillId="0" borderId="0" xfId="0" applyNumberFormat="1" applyAlignment="1">
      <alignment horizontal="right"/>
    </xf>
    <xf numFmtId="14" fontId="12" fillId="0" borderId="2" xfId="0" applyNumberFormat="1" applyFont="1" applyBorder="1" applyAlignment="1">
      <alignment horizontal="right"/>
    </xf>
    <xf numFmtId="14" fontId="11" fillId="0" borderId="0" xfId="0" applyNumberFormat="1" applyFont="1" applyAlignment="1">
      <alignment horizontal="right"/>
    </xf>
    <xf numFmtId="0" fontId="3" fillId="2" borderId="0" xfId="0" applyFont="1" applyFill="1" applyAlignment="1">
      <alignment horizontal="center" vertical="top"/>
    </xf>
    <xf numFmtId="0" fontId="4" fillId="3" borderId="0" xfId="0" applyFont="1" applyFill="1" applyAlignment="1">
      <alignment horizontal="center" vertical="top"/>
    </xf>
    <xf numFmtId="0" fontId="0" fillId="0" borderId="0" xfId="0" applyAlignment="1">
      <alignment vertical="top"/>
    </xf>
    <xf numFmtId="0" fontId="10" fillId="3" borderId="1" xfId="1" applyFont="1" applyFill="1" applyAlignment="1">
      <alignment horizontal="center"/>
    </xf>
    <xf numFmtId="0" fontId="2" fillId="0" borderId="1" xfId="1"/>
  </cellXfs>
  <cellStyles count="3">
    <cellStyle name="Hyperlink" xfId="2" builtinId="8"/>
    <cellStyle name="Normal" xfId="0" builtinId="0"/>
    <cellStyle name="Normal 2" xfId="1" xr:uid="{91525C7E-1270-4F39-A1E3-8B6FA78FCBDC}"/>
  </cellStyles>
  <dxfs count="7">
    <dxf>
      <numFmt numFmtId="19" formatCode="m/d/yyyy"/>
      <alignment horizontal="right" vertical="bottom" textRotation="0" wrapText="0" indent="0" justifyLastLine="0" shrinkToFit="0" readingOrder="0"/>
    </dxf>
    <dxf>
      <fill>
        <patternFill patternType="solid">
          <bgColor rgb="FFDCFCE7"/>
        </patternFill>
      </fill>
    </dxf>
    <dxf>
      <fill>
        <patternFill patternType="solid">
          <bgColor rgb="FFDBEAFE"/>
        </patternFill>
      </fill>
    </dxf>
    <dxf>
      <fill>
        <patternFill patternType="solid">
          <bgColor rgb="FFF3F4F6"/>
        </patternFill>
      </fill>
    </dxf>
    <dxf>
      <numFmt numFmtId="164" formatCode="yyyy\-mm\-dd"/>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auto="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Regional Prospecting Summary</a:t>
            </a:r>
          </a:p>
        </c:rich>
      </c:tx>
      <c:overlay val="0"/>
    </c:title>
    <c:autoTitleDeleted val="0"/>
    <c:plotArea>
      <c:layout/>
      <c:barChart>
        <c:barDir val="col"/>
        <c:grouping val="clustered"/>
        <c:varyColors val="0"/>
        <c:ser>
          <c:idx val="0"/>
          <c:order val="0"/>
          <c:tx>
            <c:v>Series 1</c:v>
          </c:tx>
          <c:invertIfNegative val="1"/>
          <c:cat>
            <c:strRef>
              <c:f>Start_Here!$A$7:$A$11</c:f>
              <c:strCache>
                <c:ptCount val="5"/>
                <c:pt idx="0">
                  <c:v>New regional targets</c:v>
                </c:pt>
                <c:pt idx="1">
                  <c:v>Chicago targets</c:v>
                </c:pt>
                <c:pt idx="2">
                  <c:v>Milwaukee targets</c:v>
                </c:pt>
                <c:pt idx="3">
                  <c:v>Priority 9+ targets</c:v>
                </c:pt>
                <c:pt idx="4">
                  <c:v>Not contacted</c:v>
                </c:pt>
              </c:strCache>
            </c:strRef>
          </c:cat>
          <c:val>
            <c:numRef>
              <c:f>Start_Here!$B$7:$B$11</c:f>
              <c:numCache>
                <c:formatCode>General</c:formatCode>
                <c:ptCount val="5"/>
                <c:pt idx="0">
                  <c:v>41</c:v>
                </c:pt>
                <c:pt idx="1">
                  <c:v>14</c:v>
                </c:pt>
                <c:pt idx="2">
                  <c:v>14</c:v>
                </c:pt>
                <c:pt idx="3">
                  <c:v>3</c:v>
                </c:pt>
                <c:pt idx="4">
                  <c:v>25</c:v>
                </c:pt>
              </c:numCache>
            </c:numRef>
          </c:val>
          <c:extLst>
            <c:ext xmlns:c16="http://schemas.microsoft.com/office/drawing/2014/chart" uri="{C3380CC4-5D6E-409C-BE32-E72D297353CC}">
              <c16:uniqueId val="{00000000-CDB5-45F2-B9B9-C1815ED5DB7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0</xdr:colOff>
      <xdr:row>31</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A19923-56ED-4D63-8E66-70F66400277F}" name="TrackerTable56" displayName="TrackerTable56" ref="A2:H20">
  <autoFilter ref="A2:H20" xr:uid="{00000000-0009-0000-0100-000003000000}"/>
  <tableColumns count="8">
    <tableColumn id="1" xr3:uid="{CC35087E-A520-4CED-BF54-966BC6DC9BDE}" name="Professor"/>
    <tableColumn id="2" xr3:uid="{887DD06E-D5C6-4A86-936F-8465DC6AB136}" name="Lab"/>
    <tableColumn id="3" xr3:uid="{1B234C19-69E6-459A-BF13-D252202D9CDC}" name="Research Area"/>
    <tableColumn id="4" xr3:uid="{5C5F49DA-35EB-4B05-82BF-5652BAF65EB4}" name="Date Sent"/>
    <tableColumn id="5" xr3:uid="{A0E506DC-73D0-412D-B6F4-8EFFC8505954}" name="Follow-up due"/>
    <tableColumn id="6" xr3:uid="{8B0154EC-A331-4ECB-ADB9-1EF16E70CEAE}" name="Response"/>
    <tableColumn id="7" xr3:uid="{B49BDBEB-12F7-4848-ADE8-1A0420CC2DD5}" name="Next step"/>
    <tableColumn id="8" xr3:uid="{B2F8FEE8-373C-4E2F-A001-15D5768BB4ED}" name="Notes"/>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disonCompanies" displayName="MadisonCompanies" ref="A1:P20">
  <tableColumns count="16">
    <tableColumn id="1" xr3:uid="{00000000-0010-0000-0000-000001000000}" name="Company"/>
    <tableColumn id="2" xr3:uid="{00000000-0010-0000-0000-000002000000}" name="City / Area"/>
    <tableColumn id="3" xr3:uid="{00000000-0010-0000-0000-000003000000}" name="Segment"/>
    <tableColumn id="4" xr3:uid="{00000000-0010-0000-0000-000004000000}" name="Why it belongs on your list"/>
    <tableColumn id="5" xr3:uid="{00000000-0010-0000-0000-000005000000}" name="Relevant signal for you"/>
    <tableColumn id="6" xr3:uid="{00000000-0010-0000-0000-000006000000}" name="Digital-design fit (1-5)"/>
    <tableColumn id="7" xr3:uid="{00000000-0010-0000-0000-000007000000}" name="Student access (1-5)"/>
    <tableColumn id="8" xr3:uid="{00000000-0010-0000-0000-000008000000}" name="Priority Score"/>
    <tableColumn id="9" xr3:uid="{00000000-0010-0000-0000-000009000000}" name="Website"/>
    <tableColumn id="10" xr3:uid="{00000000-0010-0000-0000-00000A000000}" name="Careers / Contact"/>
    <tableColumn id="11" xr3:uid="{00000000-0010-0000-0000-00000B000000}" name="Source 1"/>
    <tableColumn id="12" xr3:uid="{00000000-0010-0000-0000-00000C000000}" name="Source 2"/>
    <tableColumn id="13" xr3:uid="{00000000-0010-0000-0000-00000D000000}" name="First action"/>
    <tableColumn id="14" xr3:uid="{00000000-0010-0000-0000-00000E000000}" name="Outreach status"/>
    <tableColumn id="15" xr3:uid="{00000000-0010-0000-0000-00000F000000}" name="Date contacted"/>
    <tableColumn id="16" xr3:uid="{00000000-0010-0000-0000-000010000000}" name="Follow-up d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gionalTargets" displayName="RegionalTargets" ref="A1:U31" totalsRowCount="1">
  <tableColumns count="21">
    <tableColumn id="1" xr3:uid="{00000000-0010-0000-0100-000001000000}" name="Region" totalsRowLabel="Austin" totalsRowDxfId="6"/>
    <tableColumn id="2" xr3:uid="{00000000-0010-0000-0100-000002000000}" name="Company" totalsRowLabel="Base Core power"/>
    <tableColumn id="3" xr3:uid="{00000000-0010-0000-0100-000003000000}" name="City / Area" totalsRowLabel="Austin, TX"/>
    <tableColumn id="4" xr3:uid="{00000000-0010-0000-0100-000004000000}" name="Segment" totalsRowLabel="Hardware engineering internship"/>
    <tableColumn id="5" xr3:uid="{00000000-0010-0000-0100-000005000000}" name="Why it belongs on your list"/>
    <tableColumn id="6" xr3:uid="{00000000-0010-0000-0100-000006000000}" name="Relevant signal for you"/>
    <tableColumn id="7" xr3:uid="{00000000-0010-0000-0100-000007000000}" name="Digital-design fit (1-5)"/>
    <tableColumn id="8" xr3:uid="{00000000-0010-0000-0100-000008000000}" name="Student access (1-5)"/>
    <tableColumn id="9" xr3:uid="{00000000-0010-0000-0100-000009000000}" name="Priority Score"/>
    <tableColumn id="10" xr3:uid="{00000000-0010-0000-0100-00000A000000}" name="Website"/>
    <tableColumn id="11" xr3:uid="{00000000-0010-0000-0100-00000B000000}" name="Careers / Contact"/>
    <tableColumn id="12" xr3:uid="{00000000-0010-0000-0100-00000C000000}" name="Source 1"/>
    <tableColumn id="13" xr3:uid="{00000000-0010-0000-0100-00000D000000}" name="Source 2"/>
    <tableColumn id="14" xr3:uid="{00000000-0010-0000-0100-00000E000000}" name="First action"/>
    <tableColumn id="15" xr3:uid="{00000000-0010-0000-0100-00000F000000}" name="Outreach status" dataDxfId="5"/>
    <tableColumn id="16" xr3:uid="{00000000-0010-0000-0100-000010000000}" name="Date contacted" totalsRowLabel="8/5/2026" dataDxfId="4" totalsRowDxfId="0"/>
    <tableColumn id="17" xr3:uid="{00000000-0010-0000-0100-000011000000}" name="RESPONSE"/>
    <tableColumn id="18" xr3:uid="{00000000-0010-0000-0100-000012000000}" name="Role keywords to search"/>
    <tableColumn id="19" xr3:uid="{00000000-0010-0000-0100-000013000000}" name="Contact target"/>
    <tableColumn id="20" xr3:uid="{00000000-0010-0000-0100-000014000000}" name="Notes"/>
    <tableColumn id="21" xr3:uid="{2F58BF50-0BF7-4512-A223-E1838FF17A0C}"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reachTracker" displayName="OutreachTracker" ref="A1:I29">
  <tableColumns count="9">
    <tableColumn id="1" xr3:uid="{00000000-0010-0000-0200-000001000000}" name="Company"/>
    <tableColumn id="2" xr3:uid="{00000000-0010-0000-0200-000002000000}" name="Region"/>
    <tableColumn id="3" xr3:uid="{00000000-0010-0000-0200-000003000000}" name="Contact / role"/>
    <tableColumn id="4" xr3:uid="{00000000-0010-0000-0200-000004000000}" name="Where found"/>
    <tableColumn id="5" xr3:uid="{00000000-0010-0000-0200-000005000000}" name="Date sent"/>
    <tableColumn id="6" xr3:uid="{00000000-0010-0000-0200-000006000000}" name="Follow-up due"/>
    <tableColumn id="7" xr3:uid="{00000000-0010-0000-0200-000007000000}" name="Response"/>
    <tableColumn id="8" xr3:uid="{00000000-0010-0000-0200-000008000000}" name="Next step"/>
    <tableColumn id="9" xr3:uid="{00000000-0010-0000-0200-000009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ResourcesTable" displayName="ResourcesTable" ref="A1:C11">
  <tableColumns count="3">
    <tableColumn id="1" xr3:uid="{00000000-0010-0000-0300-000001000000}" name="Resource"/>
    <tableColumn id="2" xr3:uid="{00000000-0010-0000-0300-000002000000}" name="Why it matters"/>
    <tableColumn id="3" xr3:uid="{00000000-0010-0000-0300-000003000000}" name="URL / Search str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woWeekPlan" displayName="TwoWeekPlan" ref="A1:F15">
  <tableColumns count="6">
    <tableColumn id="1" xr3:uid="{00000000-0010-0000-0400-000001000000}" name="Day"/>
    <tableColumn id="2" xr3:uid="{00000000-0010-0000-0400-000002000000}" name="Theme"/>
    <tableColumn id="3" xr3:uid="{00000000-0010-0000-0400-000003000000}" name="Action"/>
    <tableColumn id="4" xr3:uid="{00000000-0010-0000-0400-000004000000}" name="Output"/>
    <tableColumn id="5" xr3:uid="{00000000-0010-0000-0400-000005000000}" name="Done?"/>
    <tableColumn id="6" xr3:uid="{00000000-0010-0000-0400-000006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2.bin"/><Relationship Id="rId1" Type="http://schemas.openxmlformats.org/officeDocument/2006/relationships/hyperlink" Target="https://app.tealhq.com/ai-job-search"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zoomScale="85" zoomScaleNormal="85" workbookViewId="0">
      <selection activeCell="C8" sqref="C8"/>
    </sheetView>
  </sheetViews>
  <sheetFormatPr defaultRowHeight="14.25"/>
  <cols>
    <col min="1" max="1" width="22" customWidth="1"/>
    <col min="2" max="2" width="18" customWidth="1"/>
    <col min="3" max="3" width="28" customWidth="1"/>
    <col min="4" max="4" width="36" customWidth="1"/>
    <col min="5" max="8" width="10" customWidth="1"/>
  </cols>
  <sheetData>
    <row r="1" spans="1:8" ht="19.149999999999999" customHeight="1">
      <c r="A1" s="28" t="s">
        <v>0</v>
      </c>
      <c r="B1" s="28"/>
      <c r="C1" s="28"/>
      <c r="D1" s="28"/>
      <c r="E1" s="28"/>
      <c r="F1" s="28"/>
      <c r="G1" s="28"/>
      <c r="H1" s="28"/>
    </row>
    <row r="2" spans="1:8" ht="15" customHeight="1">
      <c r="A2" s="2" t="s">
        <v>1</v>
      </c>
      <c r="B2" s="2">
        <v>46176</v>
      </c>
      <c r="C2" s="2"/>
      <c r="D2" s="2"/>
      <c r="E2" s="2"/>
      <c r="F2" s="2"/>
      <c r="G2" s="2"/>
      <c r="H2" s="2"/>
    </row>
    <row r="3" spans="1:8" ht="15" customHeight="1">
      <c r="A3" s="2"/>
      <c r="B3" s="2"/>
      <c r="C3" s="2"/>
      <c r="D3" s="2"/>
      <c r="E3" s="2"/>
      <c r="F3" s="2"/>
      <c r="G3" s="2"/>
      <c r="H3" s="2"/>
    </row>
    <row r="4" spans="1:8" ht="79.150000000000006" customHeight="1">
      <c r="A4" s="3" t="s">
        <v>2</v>
      </c>
      <c r="B4" s="3" t="s">
        <v>3</v>
      </c>
      <c r="C4" s="3"/>
      <c r="D4" s="3"/>
      <c r="E4" s="3"/>
      <c r="F4" s="3"/>
      <c r="G4" s="3"/>
      <c r="H4" s="3"/>
    </row>
    <row r="5" spans="1:8" ht="15" customHeight="1">
      <c r="A5" s="2"/>
      <c r="B5" s="2"/>
      <c r="C5" s="2"/>
      <c r="D5" s="2"/>
      <c r="E5" s="2"/>
      <c r="F5" s="2"/>
      <c r="G5" s="2"/>
      <c r="H5" s="2"/>
    </row>
    <row r="6" spans="1:8" ht="15" customHeight="1">
      <c r="A6" s="4" t="s">
        <v>4</v>
      </c>
      <c r="B6" s="4" t="s">
        <v>5</v>
      </c>
      <c r="C6" s="2"/>
      <c r="D6" s="29" t="s">
        <v>6</v>
      </c>
      <c r="E6" s="30"/>
      <c r="F6" s="30"/>
      <c r="G6" s="30"/>
      <c r="H6" s="30"/>
    </row>
    <row r="7" spans="1:8" ht="105.6" customHeight="1">
      <c r="A7" s="2" t="s">
        <v>7</v>
      </c>
      <c r="B7" s="2">
        <f>COUNTA(Regional_Targets!B2:B101)</f>
        <v>41</v>
      </c>
      <c r="C7" s="2"/>
      <c r="D7" s="3" t="s">
        <v>8</v>
      </c>
      <c r="E7" s="3" t="s">
        <v>9</v>
      </c>
      <c r="F7" s="3"/>
      <c r="G7" s="3"/>
      <c r="H7" s="3"/>
    </row>
    <row r="8" spans="1:8" ht="105.6" customHeight="1">
      <c r="A8" s="2" t="s">
        <v>10</v>
      </c>
      <c r="B8" s="2">
        <f>COUNTIF(Regional_Targets!A2:A101,"Chicago")</f>
        <v>14</v>
      </c>
      <c r="C8" s="2"/>
      <c r="D8" s="3" t="s">
        <v>11</v>
      </c>
      <c r="E8" s="3" t="s">
        <v>12</v>
      </c>
      <c r="F8" s="3"/>
      <c r="G8" s="3"/>
      <c r="H8" s="3"/>
    </row>
    <row r="9" spans="1:8" ht="118.9" customHeight="1">
      <c r="A9" s="2" t="s">
        <v>13</v>
      </c>
      <c r="B9" s="2">
        <f>COUNTIF(Regional_Targets!A2:A101,"Milwaukee")</f>
        <v>14</v>
      </c>
      <c r="C9" s="2"/>
      <c r="D9" s="3" t="s">
        <v>14</v>
      </c>
      <c r="E9" s="3" t="s">
        <v>15</v>
      </c>
      <c r="F9" s="3"/>
      <c r="G9" s="3"/>
      <c r="H9" s="3"/>
    </row>
    <row r="10" spans="1:8" ht="118.9" customHeight="1">
      <c r="A10" s="2" t="s">
        <v>16</v>
      </c>
      <c r="B10" s="2">
        <f>COUNTIF(Regional_Targets!I2:I101,"&gt;=9")</f>
        <v>3</v>
      </c>
      <c r="C10" s="2"/>
      <c r="D10" s="3" t="s">
        <v>17</v>
      </c>
      <c r="E10" s="3" t="s">
        <v>18</v>
      </c>
      <c r="F10" s="3"/>
      <c r="G10" s="3"/>
      <c r="H10" s="3"/>
    </row>
    <row r="11" spans="1:8" ht="118.9" customHeight="1">
      <c r="A11" s="2" t="s">
        <v>19</v>
      </c>
      <c r="B11" s="2">
        <f>COUNTIF(Regional_Targets!O2:O101,"Not contacted")</f>
        <v>25</v>
      </c>
      <c r="C11" s="2"/>
      <c r="D11" s="3" t="s">
        <v>20</v>
      </c>
      <c r="E11" s="3" t="s">
        <v>21</v>
      </c>
      <c r="F11" s="3"/>
      <c r="G11" s="3"/>
      <c r="H11" s="3"/>
    </row>
    <row r="12" spans="1:8" ht="118.9" customHeight="1">
      <c r="A12" s="2"/>
      <c r="B12" s="2"/>
      <c r="C12" s="2"/>
      <c r="D12" s="3" t="s">
        <v>22</v>
      </c>
      <c r="E12" s="3" t="s">
        <v>23</v>
      </c>
      <c r="F12" s="3"/>
      <c r="G12" s="3"/>
      <c r="H12" s="3"/>
    </row>
    <row r="13" spans="1:8" ht="92.45" customHeight="1">
      <c r="A13" s="2"/>
      <c r="B13" s="2"/>
      <c r="C13" s="2"/>
      <c r="D13" s="3" t="s">
        <v>24</v>
      </c>
      <c r="E13" s="3" t="s">
        <v>25</v>
      </c>
      <c r="F13" s="3"/>
      <c r="G13" s="3"/>
      <c r="H13" s="3"/>
    </row>
    <row r="14" spans="1:8" ht="118.9" customHeight="1">
      <c r="A14" s="2"/>
      <c r="B14" s="2"/>
      <c r="C14" s="2"/>
      <c r="D14" s="3" t="s">
        <v>26</v>
      </c>
      <c r="E14" s="3" t="s">
        <v>27</v>
      </c>
      <c r="F14" s="3"/>
      <c r="G14" s="3"/>
      <c r="H14" s="3"/>
    </row>
    <row r="15" spans="1:8" ht="105.6" customHeight="1">
      <c r="A15" s="2"/>
      <c r="B15" s="2"/>
      <c r="C15" s="2"/>
      <c r="D15" s="3" t="s">
        <v>28</v>
      </c>
      <c r="E15" s="3" t="s">
        <v>29</v>
      </c>
      <c r="F15" s="3"/>
      <c r="G15" s="3"/>
      <c r="H15" s="3"/>
    </row>
    <row r="16" spans="1:8" ht="15" customHeight="1">
      <c r="A16" s="2"/>
      <c r="B16" s="2"/>
      <c r="C16" s="2"/>
      <c r="D16" s="3"/>
      <c r="E16" s="3"/>
      <c r="F16" s="3"/>
      <c r="G16" s="3"/>
      <c r="H16" s="3"/>
    </row>
    <row r="17" spans="1:8" ht="15" customHeight="1">
      <c r="A17" s="2"/>
      <c r="B17" s="2"/>
      <c r="C17" s="2"/>
      <c r="D17" s="2"/>
      <c r="E17" s="2"/>
      <c r="F17" s="2"/>
      <c r="G17" s="2"/>
      <c r="H17" s="2"/>
    </row>
    <row r="18" spans="1:8" ht="15" customHeight="1">
      <c r="A18" s="5" t="s">
        <v>30</v>
      </c>
      <c r="B18" s="5" t="s">
        <v>31</v>
      </c>
      <c r="C18" s="5" t="s">
        <v>32</v>
      </c>
      <c r="D18" s="5" t="s">
        <v>33</v>
      </c>
      <c r="E18" s="5"/>
      <c r="F18" s="5"/>
      <c r="G18" s="5"/>
      <c r="H18" s="5"/>
    </row>
    <row r="19" spans="1:8" ht="26.45" customHeight="1">
      <c r="A19" s="3" t="s">
        <v>34</v>
      </c>
      <c r="B19" s="3" t="s">
        <v>35</v>
      </c>
      <c r="C19" s="3" t="s">
        <v>36</v>
      </c>
      <c r="D19" s="3" t="s">
        <v>37</v>
      </c>
      <c r="E19" s="3"/>
      <c r="F19" s="3"/>
      <c r="G19" s="3"/>
      <c r="H19" s="3"/>
    </row>
    <row r="20" spans="1:8" ht="39.6" customHeight="1">
      <c r="A20" s="3" t="s">
        <v>38</v>
      </c>
      <c r="B20" s="3" t="s">
        <v>35</v>
      </c>
      <c r="C20" s="3" t="s">
        <v>39</v>
      </c>
      <c r="D20" s="3" t="s">
        <v>40</v>
      </c>
      <c r="E20" s="3"/>
      <c r="F20" s="3"/>
      <c r="G20" s="3"/>
      <c r="H20" s="3"/>
    </row>
    <row r="21" spans="1:8" ht="26.45" customHeight="1">
      <c r="A21" s="3" t="s">
        <v>41</v>
      </c>
      <c r="B21" s="3" t="s">
        <v>42</v>
      </c>
      <c r="C21" s="3" t="s">
        <v>43</v>
      </c>
      <c r="D21" s="3" t="s">
        <v>44</v>
      </c>
      <c r="E21" s="3"/>
      <c r="F21" s="3"/>
      <c r="G21" s="3"/>
      <c r="H21" s="3"/>
    </row>
    <row r="22" spans="1:8" ht="26.45" customHeight="1">
      <c r="A22" s="3" t="s">
        <v>45</v>
      </c>
      <c r="B22" s="3" t="s">
        <v>42</v>
      </c>
      <c r="C22" s="3" t="s">
        <v>46</v>
      </c>
      <c r="D22" s="3" t="s">
        <v>47</v>
      </c>
      <c r="E22" s="3"/>
      <c r="F22" s="3"/>
      <c r="G22" s="3"/>
      <c r="H22" s="3"/>
    </row>
    <row r="23" spans="1:8" ht="26.45" customHeight="1">
      <c r="A23" s="3" t="s">
        <v>48</v>
      </c>
      <c r="B23" s="3" t="s">
        <v>35</v>
      </c>
      <c r="C23" s="3" t="s">
        <v>49</v>
      </c>
      <c r="D23" s="3" t="s">
        <v>50</v>
      </c>
      <c r="E23" s="3"/>
      <c r="F23" s="3"/>
      <c r="G23" s="3"/>
      <c r="H23" s="3"/>
    </row>
    <row r="24" spans="1:8" ht="26.45" customHeight="1">
      <c r="A24" s="3" t="s">
        <v>51</v>
      </c>
      <c r="B24" s="3" t="s">
        <v>35</v>
      </c>
      <c r="C24" s="3" t="s">
        <v>52</v>
      </c>
      <c r="D24" s="3" t="s">
        <v>53</v>
      </c>
      <c r="E24" s="3"/>
      <c r="F24" s="3"/>
      <c r="G24" s="3"/>
      <c r="H24" s="3"/>
    </row>
    <row r="25" spans="1:8" ht="26.45" customHeight="1">
      <c r="A25" s="3" t="s">
        <v>54</v>
      </c>
      <c r="B25" s="3" t="s">
        <v>42</v>
      </c>
      <c r="C25" s="3" t="s">
        <v>55</v>
      </c>
      <c r="D25" s="3" t="s">
        <v>56</v>
      </c>
      <c r="E25" s="3"/>
      <c r="F25" s="3"/>
      <c r="G25" s="3"/>
      <c r="H25" s="3"/>
    </row>
    <row r="26" spans="1:8" ht="15" customHeight="1">
      <c r="A26" s="3" t="s">
        <v>57</v>
      </c>
      <c r="B26" s="3" t="s">
        <v>42</v>
      </c>
      <c r="C26" s="3" t="s">
        <v>58</v>
      </c>
      <c r="D26" s="3" t="s">
        <v>59</v>
      </c>
      <c r="E26" s="3"/>
      <c r="F26" s="3"/>
      <c r="G26" s="3"/>
      <c r="H26" s="3"/>
    </row>
    <row r="27" spans="1:8" ht="15" customHeight="1">
      <c r="A27" t="s">
        <v>60</v>
      </c>
      <c r="B27" t="s">
        <v>35</v>
      </c>
      <c r="C27" t="s">
        <v>61</v>
      </c>
      <c r="D27" t="s">
        <v>62</v>
      </c>
    </row>
  </sheetData>
  <mergeCells count="2">
    <mergeCell ref="A1:H1"/>
    <mergeCell ref="D6:H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EE7A-6087-430E-B144-D3C76CDE0C17}">
  <dimension ref="A1:H20"/>
  <sheetViews>
    <sheetView topLeftCell="C1" zoomScale="85" zoomScaleNormal="85" workbookViewId="0">
      <selection activeCell="H5" sqref="H5"/>
    </sheetView>
  </sheetViews>
  <sheetFormatPr defaultRowHeight="15"/>
  <cols>
    <col min="1" max="1" width="26.25" style="8" customWidth="1"/>
    <col min="2" max="2" width="21" style="8" customWidth="1"/>
    <col min="3" max="3" width="15.75" style="8" customWidth="1"/>
    <col min="4" max="5" width="10.5" style="8" customWidth="1"/>
    <col min="6" max="6" width="12.25" style="8" customWidth="1"/>
    <col min="7" max="7" width="24.5" style="8" customWidth="1"/>
    <col min="8" max="8" width="67" style="8" customWidth="1"/>
    <col min="9" max="16384" width="9" style="8"/>
  </cols>
  <sheetData>
    <row r="1" spans="1:8" ht="18.75">
      <c r="A1" s="31" t="s">
        <v>662</v>
      </c>
      <c r="B1" s="32"/>
      <c r="C1" s="32"/>
      <c r="D1" s="32"/>
      <c r="E1" s="32"/>
      <c r="F1" s="32"/>
      <c r="G1" s="32"/>
      <c r="H1" s="32"/>
    </row>
    <row r="2" spans="1:8">
      <c r="A2" s="15" t="s">
        <v>661</v>
      </c>
      <c r="B2" s="15" t="s">
        <v>660</v>
      </c>
      <c r="C2" s="15" t="s">
        <v>659</v>
      </c>
      <c r="D2" s="15" t="s">
        <v>658</v>
      </c>
      <c r="E2" s="14" t="s">
        <v>78</v>
      </c>
      <c r="F2" s="14" t="s">
        <v>552</v>
      </c>
      <c r="G2" s="14" t="s">
        <v>553</v>
      </c>
      <c r="H2" s="14" t="s">
        <v>222</v>
      </c>
    </row>
    <row r="3" spans="1:8" ht="30">
      <c r="A3" s="13" t="s">
        <v>657</v>
      </c>
      <c r="B3" s="8" t="s">
        <v>643</v>
      </c>
      <c r="C3" s="9" t="s">
        <v>642</v>
      </c>
      <c r="D3" s="11">
        <v>46174</v>
      </c>
      <c r="E3" s="10"/>
      <c r="F3" s="9" t="s">
        <v>554</v>
      </c>
      <c r="G3" s="9" t="s">
        <v>641</v>
      </c>
      <c r="H3" s="9" t="s">
        <v>656</v>
      </c>
    </row>
    <row r="4" spans="1:8" ht="60">
      <c r="A4" s="13" t="s">
        <v>655</v>
      </c>
      <c r="B4" s="8" t="s">
        <v>643</v>
      </c>
      <c r="C4" s="9" t="s">
        <v>642</v>
      </c>
      <c r="D4" s="11" t="s">
        <v>654</v>
      </c>
      <c r="E4" s="10"/>
      <c r="F4" s="9" t="s">
        <v>554</v>
      </c>
      <c r="G4" s="9" t="s">
        <v>641</v>
      </c>
      <c r="H4" s="16" t="s">
        <v>663</v>
      </c>
    </row>
    <row r="5" spans="1:8">
      <c r="A5" s="13" t="s">
        <v>653</v>
      </c>
      <c r="B5" s="9" t="s">
        <v>652</v>
      </c>
      <c r="C5" s="9" t="s">
        <v>642</v>
      </c>
      <c r="D5" s="11">
        <v>46174</v>
      </c>
      <c r="E5" s="10">
        <f t="shared" ref="E5:E18" si="0">IF(D5&lt;&gt;"",D5+7,"")</f>
        <v>46181</v>
      </c>
      <c r="F5" s="9" t="s">
        <v>554</v>
      </c>
      <c r="G5" s="9" t="s">
        <v>641</v>
      </c>
      <c r="H5" s="9" t="s">
        <v>651</v>
      </c>
    </row>
    <row r="6" spans="1:8">
      <c r="A6" s="13" t="s">
        <v>650</v>
      </c>
      <c r="B6" s="8" t="s">
        <v>643</v>
      </c>
      <c r="C6" s="9" t="s">
        <v>642</v>
      </c>
      <c r="D6" s="11">
        <v>46174</v>
      </c>
      <c r="E6" s="10">
        <f t="shared" si="0"/>
        <v>46181</v>
      </c>
      <c r="F6" s="9" t="s">
        <v>554</v>
      </c>
      <c r="G6" s="9" t="s">
        <v>641</v>
      </c>
      <c r="H6" s="9" t="s">
        <v>649</v>
      </c>
    </row>
    <row r="7" spans="1:8">
      <c r="A7" s="13" t="s">
        <v>648</v>
      </c>
      <c r="B7" s="8" t="s">
        <v>643</v>
      </c>
      <c r="C7" s="9" t="s">
        <v>642</v>
      </c>
      <c r="D7" s="11">
        <v>46174</v>
      </c>
      <c r="E7" s="10">
        <f t="shared" si="0"/>
        <v>46181</v>
      </c>
      <c r="F7" s="9" t="s">
        <v>554</v>
      </c>
      <c r="G7" s="9" t="s">
        <v>641</v>
      </c>
      <c r="H7" s="8" t="s">
        <v>647</v>
      </c>
    </row>
    <row r="8" spans="1:8">
      <c r="A8" s="13" t="s">
        <v>646</v>
      </c>
      <c r="B8" s="8" t="s">
        <v>643</v>
      </c>
      <c r="C8" s="9" t="s">
        <v>642</v>
      </c>
      <c r="D8" s="11">
        <v>46174</v>
      </c>
      <c r="E8" s="10">
        <f t="shared" si="0"/>
        <v>46181</v>
      </c>
      <c r="F8" s="9" t="s">
        <v>554</v>
      </c>
      <c r="G8" s="9" t="s">
        <v>641</v>
      </c>
      <c r="H8" s="9" t="s">
        <v>645</v>
      </c>
    </row>
    <row r="9" spans="1:8">
      <c r="A9" s="13" t="s">
        <v>644</v>
      </c>
      <c r="B9" s="8" t="s">
        <v>643</v>
      </c>
      <c r="C9" s="9" t="s">
        <v>642</v>
      </c>
      <c r="D9" s="11">
        <v>46174</v>
      </c>
      <c r="E9" s="10">
        <f t="shared" si="0"/>
        <v>46181</v>
      </c>
      <c r="F9" s="9" t="s">
        <v>554</v>
      </c>
      <c r="G9" s="9" t="s">
        <v>641</v>
      </c>
      <c r="H9" s="9" t="s">
        <v>640</v>
      </c>
    </row>
    <row r="10" spans="1:8">
      <c r="A10" s="12"/>
      <c r="B10" s="9"/>
      <c r="C10" s="9"/>
      <c r="D10" s="11"/>
      <c r="E10" s="10" t="str">
        <f t="shared" si="0"/>
        <v/>
      </c>
      <c r="F10" s="9" t="s">
        <v>554</v>
      </c>
      <c r="G10" s="9" t="s">
        <v>639</v>
      </c>
      <c r="H10" s="9" t="s">
        <v>639</v>
      </c>
    </row>
    <row r="11" spans="1:8">
      <c r="A11" s="12"/>
      <c r="B11" s="9"/>
      <c r="C11" s="9"/>
      <c r="D11" s="11"/>
      <c r="E11" s="10" t="str">
        <f t="shared" si="0"/>
        <v/>
      </c>
      <c r="F11" s="9" t="s">
        <v>554</v>
      </c>
      <c r="G11" s="9" t="s">
        <v>639</v>
      </c>
      <c r="H11" s="9" t="s">
        <v>639</v>
      </c>
    </row>
    <row r="12" spans="1:8">
      <c r="A12" s="12"/>
      <c r="B12" s="9"/>
      <c r="C12" s="9"/>
      <c r="D12" s="11"/>
      <c r="E12" s="10" t="str">
        <f t="shared" si="0"/>
        <v/>
      </c>
      <c r="F12" s="9" t="s">
        <v>554</v>
      </c>
      <c r="G12" s="9" t="s">
        <v>639</v>
      </c>
      <c r="H12" s="9" t="s">
        <v>639</v>
      </c>
    </row>
    <row r="13" spans="1:8">
      <c r="A13" s="12"/>
      <c r="B13" s="9"/>
      <c r="C13" s="9"/>
      <c r="D13" s="11"/>
      <c r="E13" s="10" t="str">
        <f t="shared" si="0"/>
        <v/>
      </c>
      <c r="F13" s="9" t="s">
        <v>554</v>
      </c>
      <c r="G13" s="9" t="s">
        <v>639</v>
      </c>
      <c r="H13" s="9" t="s">
        <v>639</v>
      </c>
    </row>
    <row r="14" spans="1:8">
      <c r="A14" s="12"/>
      <c r="B14" s="9"/>
      <c r="C14" s="9"/>
      <c r="D14" s="11"/>
      <c r="E14" s="10" t="str">
        <f t="shared" si="0"/>
        <v/>
      </c>
      <c r="F14" s="9" t="s">
        <v>554</v>
      </c>
      <c r="G14" s="9" t="s">
        <v>639</v>
      </c>
      <c r="H14" s="9" t="s">
        <v>639</v>
      </c>
    </row>
    <row r="15" spans="1:8">
      <c r="A15" s="12"/>
      <c r="B15" s="9"/>
      <c r="C15" s="9"/>
      <c r="D15" s="11"/>
      <c r="E15" s="10" t="str">
        <f t="shared" si="0"/>
        <v/>
      </c>
      <c r="F15" s="9" t="s">
        <v>554</v>
      </c>
      <c r="G15" s="9" t="s">
        <v>639</v>
      </c>
      <c r="H15" s="9" t="s">
        <v>639</v>
      </c>
    </row>
    <row r="16" spans="1:8">
      <c r="A16" s="12"/>
      <c r="B16" s="9"/>
      <c r="C16" s="9"/>
      <c r="D16" s="11"/>
      <c r="E16" s="10" t="str">
        <f t="shared" si="0"/>
        <v/>
      </c>
      <c r="F16" s="9" t="s">
        <v>554</v>
      </c>
      <c r="G16" s="9" t="s">
        <v>639</v>
      </c>
      <c r="H16" s="9" t="s">
        <v>639</v>
      </c>
    </row>
    <row r="17" spans="1:8">
      <c r="A17" s="12"/>
      <c r="B17" s="9"/>
      <c r="C17" s="9"/>
      <c r="D17" s="11"/>
      <c r="E17" s="10" t="str">
        <f t="shared" si="0"/>
        <v/>
      </c>
      <c r="F17" s="9" t="s">
        <v>554</v>
      </c>
      <c r="G17" s="9" t="s">
        <v>639</v>
      </c>
      <c r="H17" s="9" t="s">
        <v>639</v>
      </c>
    </row>
    <row r="18" spans="1:8">
      <c r="A18" s="12"/>
      <c r="B18" s="9"/>
      <c r="C18" s="9"/>
      <c r="D18" s="11"/>
      <c r="E18" s="10" t="str">
        <f t="shared" si="0"/>
        <v/>
      </c>
      <c r="F18" s="9" t="s">
        <v>554</v>
      </c>
      <c r="H18" s="9" t="s">
        <v>639</v>
      </c>
    </row>
    <row r="19" spans="1:8">
      <c r="A19" s="9"/>
      <c r="B19" s="9"/>
      <c r="C19" s="9"/>
      <c r="D19" s="9"/>
      <c r="E19" s="9"/>
      <c r="F19" s="9"/>
      <c r="G19" s="9"/>
      <c r="H19" s="9"/>
    </row>
    <row r="20" spans="1:8">
      <c r="A20" s="9"/>
      <c r="B20" s="9"/>
      <c r="C20" s="9"/>
      <c r="D20" s="9"/>
      <c r="E20" s="9"/>
      <c r="F20" s="9"/>
      <c r="G20" s="9"/>
      <c r="H20" s="9"/>
    </row>
  </sheetData>
  <mergeCells count="1">
    <mergeCell ref="A1:H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0"/>
  <sheetViews>
    <sheetView topLeftCell="A14" workbookViewId="0">
      <selection activeCell="A16" sqref="A16"/>
    </sheetView>
  </sheetViews>
  <sheetFormatPr defaultRowHeight="14.25"/>
  <cols>
    <col min="1" max="1" width="28" customWidth="1"/>
    <col min="2" max="2" width="18" customWidth="1"/>
    <col min="3" max="3" width="26" customWidth="1"/>
    <col min="4" max="5" width="42" customWidth="1"/>
    <col min="6" max="8" width="12" customWidth="1"/>
    <col min="9" max="12" width="30" customWidth="1"/>
    <col min="13" max="13" width="45" customWidth="1"/>
    <col min="14" max="16" width="16" customWidth="1"/>
  </cols>
  <sheetData>
    <row r="1" spans="1:16" ht="26.45" customHeight="1">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row>
    <row r="2" spans="1:16" ht="39.6" customHeight="1">
      <c r="A2" s="3" t="s">
        <v>79</v>
      </c>
      <c r="B2" s="3" t="s">
        <v>80</v>
      </c>
      <c r="C2" s="3" t="s">
        <v>81</v>
      </c>
      <c r="D2" s="3" t="s">
        <v>82</v>
      </c>
      <c r="E2" s="3" t="s">
        <v>83</v>
      </c>
      <c r="F2" s="3">
        <v>5</v>
      </c>
      <c r="G2" s="3">
        <v>5</v>
      </c>
      <c r="H2" s="7">
        <v>10</v>
      </c>
      <c r="I2" s="3" t="s">
        <v>84</v>
      </c>
      <c r="J2" s="3" t="s">
        <v>85</v>
      </c>
      <c r="K2" s="3" t="s">
        <v>86</v>
      </c>
      <c r="L2" s="3" t="s">
        <v>87</v>
      </c>
      <c r="M2" s="3" t="s">
        <v>88</v>
      </c>
      <c r="N2" s="3" t="s">
        <v>670</v>
      </c>
      <c r="O2" s="6" t="s">
        <v>668</v>
      </c>
      <c r="P2" s="6"/>
    </row>
    <row r="3" spans="1:16" ht="39.6" customHeight="1">
      <c r="A3" s="3" t="s">
        <v>89</v>
      </c>
      <c r="B3" s="3" t="s">
        <v>90</v>
      </c>
      <c r="C3" s="3" t="s">
        <v>91</v>
      </c>
      <c r="D3" s="3" t="s">
        <v>92</v>
      </c>
      <c r="E3" s="3" t="s">
        <v>93</v>
      </c>
      <c r="F3" s="3">
        <v>4</v>
      </c>
      <c r="G3" s="3">
        <v>5</v>
      </c>
      <c r="H3" s="7">
        <v>9</v>
      </c>
      <c r="I3" s="3" t="s">
        <v>94</v>
      </c>
      <c r="J3" s="3" t="s">
        <v>95</v>
      </c>
      <c r="K3" s="3" t="s">
        <v>96</v>
      </c>
      <c r="L3" s="3" t="s">
        <v>97</v>
      </c>
      <c r="M3" s="3" t="s">
        <v>98</v>
      </c>
      <c r="N3" s="3" t="s">
        <v>671</v>
      </c>
      <c r="O3" s="6" t="s">
        <v>668</v>
      </c>
      <c r="P3" s="6"/>
    </row>
    <row r="4" spans="1:16" ht="39.6" customHeight="1">
      <c r="A4" s="3" t="s">
        <v>99</v>
      </c>
      <c r="B4" s="3" t="s">
        <v>100</v>
      </c>
      <c r="C4" s="3" t="s">
        <v>101</v>
      </c>
      <c r="D4" s="3" t="s">
        <v>102</v>
      </c>
      <c r="E4" s="3" t="s">
        <v>103</v>
      </c>
      <c r="F4" s="3">
        <v>4</v>
      </c>
      <c r="G4" s="3">
        <v>5</v>
      </c>
      <c r="H4" s="7">
        <v>9</v>
      </c>
      <c r="I4" s="3" t="s">
        <v>104</v>
      </c>
      <c r="J4" s="3" t="s">
        <v>105</v>
      </c>
      <c r="K4" s="3" t="s">
        <v>104</v>
      </c>
      <c r="L4" s="3" t="s">
        <v>106</v>
      </c>
      <c r="M4" s="3" t="s">
        <v>107</v>
      </c>
      <c r="N4" s="3" t="s">
        <v>673</v>
      </c>
      <c r="O4" s="6" t="s">
        <v>668</v>
      </c>
      <c r="P4" s="6"/>
    </row>
    <row r="5" spans="1:16" ht="39.6" customHeight="1">
      <c r="A5" s="3" t="s">
        <v>108</v>
      </c>
      <c r="B5" s="3" t="s">
        <v>109</v>
      </c>
      <c r="C5" s="3" t="s">
        <v>110</v>
      </c>
      <c r="D5" s="3" t="s">
        <v>111</v>
      </c>
      <c r="E5" s="3" t="s">
        <v>112</v>
      </c>
      <c r="F5" s="3">
        <v>4</v>
      </c>
      <c r="G5" s="3">
        <v>4</v>
      </c>
      <c r="H5" s="7">
        <v>8</v>
      </c>
      <c r="I5" s="3" t="s">
        <v>113</v>
      </c>
      <c r="J5" s="3" t="s">
        <v>114</v>
      </c>
      <c r="K5" s="3" t="s">
        <v>114</v>
      </c>
      <c r="L5" s="3" t="s">
        <v>115</v>
      </c>
      <c r="M5" s="3" t="s">
        <v>116</v>
      </c>
      <c r="N5" s="3" t="s">
        <v>19</v>
      </c>
      <c r="O5" s="6"/>
      <c r="P5" s="6"/>
    </row>
    <row r="6" spans="1:16" ht="39.6" customHeight="1">
      <c r="A6" s="3" t="s">
        <v>117</v>
      </c>
      <c r="B6" s="3" t="s">
        <v>118</v>
      </c>
      <c r="C6" s="3" t="s">
        <v>119</v>
      </c>
      <c r="D6" s="3" t="s">
        <v>120</v>
      </c>
      <c r="E6" s="3" t="s">
        <v>121</v>
      </c>
      <c r="F6" s="3">
        <v>3</v>
      </c>
      <c r="G6" s="3">
        <v>5</v>
      </c>
      <c r="H6" s="7">
        <v>8</v>
      </c>
      <c r="I6" s="3" t="s">
        <v>122</v>
      </c>
      <c r="J6" s="3" t="s">
        <v>123</v>
      </c>
      <c r="K6" s="3" t="s">
        <v>124</v>
      </c>
      <c r="L6" s="3" t="s">
        <v>125</v>
      </c>
      <c r="M6" s="3" t="s">
        <v>126</v>
      </c>
      <c r="N6" s="3" t="s">
        <v>19</v>
      </c>
      <c r="O6" s="6"/>
      <c r="P6" s="6"/>
    </row>
    <row r="7" spans="1:16" ht="39.6" customHeight="1">
      <c r="A7" s="3" t="s">
        <v>127</v>
      </c>
      <c r="B7" s="3" t="s">
        <v>128</v>
      </c>
      <c r="C7" s="3" t="s">
        <v>129</v>
      </c>
      <c r="D7" s="3" t="s">
        <v>130</v>
      </c>
      <c r="E7" s="3" t="s">
        <v>131</v>
      </c>
      <c r="F7" s="3">
        <v>4</v>
      </c>
      <c r="G7" s="3">
        <v>3</v>
      </c>
      <c r="H7" s="7">
        <v>7</v>
      </c>
      <c r="I7" s="3" t="s">
        <v>132</v>
      </c>
      <c r="J7" s="3" t="s">
        <v>133</v>
      </c>
      <c r="K7" s="3" t="s">
        <v>133</v>
      </c>
      <c r="L7" s="3" t="s">
        <v>134</v>
      </c>
      <c r="M7" s="3" t="s">
        <v>135</v>
      </c>
      <c r="N7" s="3" t="s">
        <v>674</v>
      </c>
      <c r="O7" s="6" t="s">
        <v>668</v>
      </c>
      <c r="P7" s="6"/>
    </row>
    <row r="8" spans="1:16" ht="52.7" customHeight="1">
      <c r="A8" s="3" t="s">
        <v>136</v>
      </c>
      <c r="B8" s="3" t="s">
        <v>137</v>
      </c>
      <c r="C8" s="3" t="s">
        <v>138</v>
      </c>
      <c r="D8" s="3" t="s">
        <v>139</v>
      </c>
      <c r="E8" s="3" t="s">
        <v>140</v>
      </c>
      <c r="F8" s="3">
        <v>3</v>
      </c>
      <c r="G8" s="3">
        <v>4</v>
      </c>
      <c r="H8" s="7">
        <v>7</v>
      </c>
      <c r="I8" s="3" t="s">
        <v>141</v>
      </c>
      <c r="J8" s="3" t="s">
        <v>142</v>
      </c>
      <c r="K8" s="3" t="s">
        <v>143</v>
      </c>
      <c r="L8" s="3" t="s">
        <v>144</v>
      </c>
      <c r="M8" s="3" t="s">
        <v>145</v>
      </c>
      <c r="N8" s="3" t="s">
        <v>19</v>
      </c>
      <c r="O8" s="6"/>
      <c r="P8" s="6"/>
    </row>
    <row r="9" spans="1:16" ht="39.6" customHeight="1">
      <c r="A9" s="3" t="s">
        <v>146</v>
      </c>
      <c r="B9" s="3" t="s">
        <v>100</v>
      </c>
      <c r="C9" s="3" t="s">
        <v>147</v>
      </c>
      <c r="D9" s="3" t="s">
        <v>148</v>
      </c>
      <c r="E9" s="3" t="s">
        <v>149</v>
      </c>
      <c r="F9" s="3">
        <v>3</v>
      </c>
      <c r="G9" s="3">
        <v>4</v>
      </c>
      <c r="H9" s="7">
        <v>7</v>
      </c>
      <c r="I9" s="3" t="s">
        <v>150</v>
      </c>
      <c r="J9" s="3" t="s">
        <v>151</v>
      </c>
      <c r="K9" s="3" t="s">
        <v>151</v>
      </c>
      <c r="L9" s="3" t="s">
        <v>152</v>
      </c>
      <c r="M9" s="3" t="s">
        <v>153</v>
      </c>
      <c r="N9" s="3" t="s">
        <v>19</v>
      </c>
      <c r="O9" s="6"/>
      <c r="P9" s="6"/>
    </row>
    <row r="10" spans="1:16" ht="39.6" customHeight="1">
      <c r="A10" s="3" t="s">
        <v>154</v>
      </c>
      <c r="B10" s="3" t="s">
        <v>137</v>
      </c>
      <c r="C10" s="3" t="s">
        <v>155</v>
      </c>
      <c r="D10" s="3" t="s">
        <v>156</v>
      </c>
      <c r="E10" s="3" t="s">
        <v>157</v>
      </c>
      <c r="F10" s="3">
        <v>4</v>
      </c>
      <c r="G10" s="3">
        <v>3</v>
      </c>
      <c r="H10" s="7">
        <v>7</v>
      </c>
      <c r="I10" s="3" t="s">
        <v>158</v>
      </c>
      <c r="J10" s="3" t="s">
        <v>159</v>
      </c>
      <c r="K10" s="3" t="s">
        <v>158</v>
      </c>
      <c r="L10" s="3" t="s">
        <v>159</v>
      </c>
      <c r="M10" s="3" t="s">
        <v>160</v>
      </c>
      <c r="N10" s="3" t="s">
        <v>19</v>
      </c>
      <c r="O10" s="6"/>
      <c r="P10" s="6"/>
    </row>
    <row r="11" spans="1:16" ht="39.6" customHeight="1">
      <c r="A11" s="3" t="s">
        <v>161</v>
      </c>
      <c r="B11" s="3" t="s">
        <v>118</v>
      </c>
      <c r="C11" s="3" t="s">
        <v>162</v>
      </c>
      <c r="D11" s="3" t="s">
        <v>163</v>
      </c>
      <c r="E11" s="3" t="s">
        <v>164</v>
      </c>
      <c r="F11" s="3">
        <v>3</v>
      </c>
      <c r="G11" s="3">
        <v>3</v>
      </c>
      <c r="H11" s="7">
        <v>6</v>
      </c>
      <c r="I11" s="3" t="s">
        <v>165</v>
      </c>
      <c r="J11" s="3" t="s">
        <v>166</v>
      </c>
      <c r="K11" s="3" t="s">
        <v>167</v>
      </c>
      <c r="L11" s="3" t="s">
        <v>166</v>
      </c>
      <c r="M11" s="3" t="s">
        <v>168</v>
      </c>
      <c r="N11" s="3" t="s">
        <v>19</v>
      </c>
      <c r="O11" s="6"/>
      <c r="P11" s="6"/>
    </row>
    <row r="12" spans="1:16" ht="39.6" customHeight="1">
      <c r="A12" s="3" t="s">
        <v>169</v>
      </c>
      <c r="B12" s="3" t="s">
        <v>137</v>
      </c>
      <c r="C12" s="3" t="s">
        <v>170</v>
      </c>
      <c r="D12" s="3" t="s">
        <v>171</v>
      </c>
      <c r="E12" s="3" t="s">
        <v>172</v>
      </c>
      <c r="F12" s="3">
        <v>3</v>
      </c>
      <c r="G12" s="3">
        <v>3</v>
      </c>
      <c r="H12" s="7">
        <v>6</v>
      </c>
      <c r="I12" s="3" t="s">
        <v>173</v>
      </c>
      <c r="J12" s="3" t="s">
        <v>174</v>
      </c>
      <c r="K12" s="3" t="s">
        <v>174</v>
      </c>
      <c r="L12" s="3" t="s">
        <v>175</v>
      </c>
      <c r="M12" s="3" t="s">
        <v>176</v>
      </c>
      <c r="N12" s="3" t="s">
        <v>19</v>
      </c>
      <c r="O12" s="6"/>
      <c r="P12" s="6"/>
    </row>
    <row r="13" spans="1:16" ht="39.6" customHeight="1">
      <c r="A13" s="3" t="s">
        <v>177</v>
      </c>
      <c r="B13" s="3" t="s">
        <v>137</v>
      </c>
      <c r="C13" s="3" t="s">
        <v>178</v>
      </c>
      <c r="D13" s="3" t="s">
        <v>179</v>
      </c>
      <c r="E13" s="3" t="s">
        <v>180</v>
      </c>
      <c r="F13" s="3">
        <v>3</v>
      </c>
      <c r="G13" s="3">
        <v>3</v>
      </c>
      <c r="H13" s="7">
        <v>6</v>
      </c>
      <c r="I13" s="3" t="s">
        <v>181</v>
      </c>
      <c r="J13" s="3" t="s">
        <v>182</v>
      </c>
      <c r="K13" s="3" t="s">
        <v>183</v>
      </c>
      <c r="L13" s="3" t="s">
        <v>184</v>
      </c>
      <c r="M13" s="3" t="s">
        <v>185</v>
      </c>
      <c r="N13" s="3" t="s">
        <v>672</v>
      </c>
      <c r="O13" s="6" t="s">
        <v>668</v>
      </c>
      <c r="P13" s="6"/>
    </row>
    <row r="14" spans="1:16" ht="52.7" customHeight="1">
      <c r="A14" s="3" t="s">
        <v>186</v>
      </c>
      <c r="B14" s="3" t="s">
        <v>187</v>
      </c>
      <c r="C14" s="3" t="s">
        <v>188</v>
      </c>
      <c r="D14" s="3" t="s">
        <v>189</v>
      </c>
      <c r="E14" s="3" t="s">
        <v>190</v>
      </c>
      <c r="F14" s="3">
        <v>3</v>
      </c>
      <c r="G14" s="3">
        <v>3</v>
      </c>
      <c r="H14" s="7">
        <v>6</v>
      </c>
      <c r="I14" s="3" t="s">
        <v>191</v>
      </c>
      <c r="J14" s="3" t="s">
        <v>192</v>
      </c>
      <c r="K14" s="3" t="s">
        <v>192</v>
      </c>
      <c r="L14" s="3" t="s">
        <v>193</v>
      </c>
      <c r="M14" s="3" t="s">
        <v>194</v>
      </c>
      <c r="N14" s="3" t="s">
        <v>19</v>
      </c>
      <c r="O14" s="6"/>
      <c r="P14" s="6"/>
    </row>
    <row r="15" spans="1:16" ht="39.6" customHeight="1">
      <c r="A15" s="3" t="s">
        <v>195</v>
      </c>
      <c r="B15" s="3" t="s">
        <v>196</v>
      </c>
      <c r="C15" s="3" t="s">
        <v>197</v>
      </c>
      <c r="D15" s="3" t="s">
        <v>198</v>
      </c>
      <c r="E15" s="3" t="s">
        <v>199</v>
      </c>
      <c r="F15" s="3">
        <v>3</v>
      </c>
      <c r="G15" s="3">
        <v>3</v>
      </c>
      <c r="H15" s="7">
        <v>6</v>
      </c>
      <c r="I15" s="3" t="s">
        <v>200</v>
      </c>
      <c r="J15" s="3" t="s">
        <v>201</v>
      </c>
      <c r="K15" s="3" t="s">
        <v>201</v>
      </c>
      <c r="L15" s="3" t="s">
        <v>202</v>
      </c>
      <c r="M15" s="3" t="s">
        <v>203</v>
      </c>
      <c r="N15" s="3" t="s">
        <v>19</v>
      </c>
      <c r="O15" s="6"/>
      <c r="P15" s="6"/>
    </row>
    <row r="16" spans="1:16" ht="52.7" customHeight="1">
      <c r="A16" s="3" t="s">
        <v>204</v>
      </c>
      <c r="B16" s="3" t="s">
        <v>205</v>
      </c>
      <c r="C16" s="3" t="s">
        <v>206</v>
      </c>
      <c r="D16" s="3" t="s">
        <v>207</v>
      </c>
      <c r="E16" s="3" t="s">
        <v>208</v>
      </c>
      <c r="F16" s="3">
        <v>3</v>
      </c>
      <c r="G16" s="3">
        <v>3</v>
      </c>
      <c r="H16" s="7">
        <v>6</v>
      </c>
      <c r="I16" s="3" t="s">
        <v>209</v>
      </c>
      <c r="J16" s="3" t="s">
        <v>209</v>
      </c>
      <c r="K16" s="3" t="s">
        <v>209</v>
      </c>
      <c r="L16" s="3" t="s">
        <v>210</v>
      </c>
      <c r="M16" s="3" t="s">
        <v>211</v>
      </c>
      <c r="N16" s="3" t="s">
        <v>19</v>
      </c>
      <c r="O16" s="6"/>
      <c r="P16" s="6"/>
    </row>
    <row r="17" spans="1:16" ht="26.45" customHeight="1">
      <c r="A17" s="3" t="s">
        <v>212</v>
      </c>
      <c r="B17" s="3" t="s">
        <v>137</v>
      </c>
      <c r="C17" s="3" t="s">
        <v>213</v>
      </c>
      <c r="D17" s="3" t="s">
        <v>214</v>
      </c>
      <c r="E17" s="3" t="s">
        <v>215</v>
      </c>
      <c r="F17" s="3">
        <v>3</v>
      </c>
      <c r="G17" s="3">
        <v>2</v>
      </c>
      <c r="H17" s="7">
        <v>5</v>
      </c>
      <c r="I17" s="3" t="s">
        <v>216</v>
      </c>
      <c r="J17" s="3" t="s">
        <v>217</v>
      </c>
      <c r="K17" s="3" t="s">
        <v>217</v>
      </c>
      <c r="L17" s="3" t="s">
        <v>218</v>
      </c>
      <c r="M17" s="3" t="s">
        <v>219</v>
      </c>
      <c r="N17" s="3" t="s">
        <v>19</v>
      </c>
      <c r="O17" s="6"/>
      <c r="P17" s="6"/>
    </row>
    <row r="18" spans="1:16">
      <c r="A18" t="s">
        <v>664</v>
      </c>
      <c r="B18" t="s">
        <v>80</v>
      </c>
      <c r="C18" t="s">
        <v>665</v>
      </c>
      <c r="D18" t="s">
        <v>666</v>
      </c>
      <c r="E18" t="s">
        <v>667</v>
      </c>
      <c r="F18">
        <v>2</v>
      </c>
      <c r="G18">
        <v>2</v>
      </c>
      <c r="H18">
        <v>10</v>
      </c>
      <c r="N18" t="s">
        <v>669</v>
      </c>
      <c r="O18" t="s">
        <v>668</v>
      </c>
    </row>
    <row r="19" spans="1:16">
      <c r="A19" t="s">
        <v>675</v>
      </c>
      <c r="B19" t="s">
        <v>676</v>
      </c>
      <c r="C19" t="s">
        <v>677</v>
      </c>
      <c r="N19" t="s">
        <v>678</v>
      </c>
      <c r="O19" s="6" t="s">
        <v>668</v>
      </c>
    </row>
    <row r="20" spans="1:16">
      <c r="A20" t="s">
        <v>681</v>
      </c>
      <c r="B20" t="s">
        <v>137</v>
      </c>
      <c r="C20" t="s">
        <v>682</v>
      </c>
      <c r="N20" t="s">
        <v>683</v>
      </c>
    </row>
  </sheetData>
  <conditionalFormatting sqref="H2:H20">
    <cfRule type="colorScale" priority="1">
      <colorScale>
        <cfvo type="min"/>
        <cfvo type="percentile" val="50"/>
        <cfvo type="max"/>
        <color rgb="FFFEE2E2"/>
        <color rgb="FFFEF3C7"/>
        <color rgb="FFDCFCE7"/>
      </colorScale>
    </cfRule>
  </conditionalFormatting>
  <dataValidations count="1">
    <dataValidation type="list" sqref="N2:N20" xr:uid="{00000000-0002-0000-0100-000000000000}">
      <formula1>"Not contacted,Applied,Messaged,Followed up,Interviewing,Rejected,Paused,Closed,Won"</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42"/>
  <sheetViews>
    <sheetView tabSelected="1" topLeftCell="R14" zoomScale="115" zoomScaleNormal="115" workbookViewId="0">
      <selection activeCell="U17" sqref="U17"/>
    </sheetView>
  </sheetViews>
  <sheetFormatPr defaultRowHeight="14.25"/>
  <cols>
    <col min="1" max="1" width="12" customWidth="1"/>
    <col min="2" max="2" width="28" customWidth="1"/>
    <col min="3" max="3" width="22" customWidth="1"/>
    <col min="4" max="4" width="28" customWidth="1"/>
    <col min="5" max="6" width="44" customWidth="1"/>
    <col min="7" max="9" width="12" customWidth="1"/>
    <col min="10" max="13" width="32" customWidth="1"/>
    <col min="14" max="14" width="48" customWidth="1"/>
    <col min="15" max="17" width="16" customWidth="1"/>
    <col min="18" max="18" width="42" customWidth="1"/>
    <col min="19" max="19" width="28" customWidth="1"/>
    <col min="20" max="20" width="34" customWidth="1"/>
  </cols>
  <sheetData>
    <row r="1" spans="1:21" ht="26.45" customHeight="1">
      <c r="A1" s="5" t="s">
        <v>31</v>
      </c>
      <c r="B1" s="5" t="s">
        <v>63</v>
      </c>
      <c r="C1" s="5" t="s">
        <v>64</v>
      </c>
      <c r="D1" s="5" t="s">
        <v>65</v>
      </c>
      <c r="E1" s="5" t="s">
        <v>66</v>
      </c>
      <c r="F1" s="5" t="s">
        <v>67</v>
      </c>
      <c r="G1" s="5" t="s">
        <v>68</v>
      </c>
      <c r="H1" s="5" t="s">
        <v>69</v>
      </c>
      <c r="I1" s="5" t="s">
        <v>70</v>
      </c>
      <c r="J1" s="5" t="s">
        <v>71</v>
      </c>
      <c r="K1" s="5" t="s">
        <v>72</v>
      </c>
      <c r="L1" s="5" t="s">
        <v>73</v>
      </c>
      <c r="M1" s="5" t="s">
        <v>74</v>
      </c>
      <c r="N1" s="5" t="s">
        <v>75</v>
      </c>
      <c r="O1" s="5" t="s">
        <v>76</v>
      </c>
      <c r="P1" s="5" t="s">
        <v>77</v>
      </c>
      <c r="Q1" s="5" t="s">
        <v>721</v>
      </c>
      <c r="R1" s="5" t="s">
        <v>220</v>
      </c>
      <c r="S1" s="5" t="s">
        <v>221</v>
      </c>
      <c r="T1" s="5" t="s">
        <v>222</v>
      </c>
      <c r="U1" t="s">
        <v>685</v>
      </c>
    </row>
    <row r="2" spans="1:21" ht="39.6" customHeight="1">
      <c r="A2" s="3" t="s">
        <v>42</v>
      </c>
      <c r="B2" s="3" t="s">
        <v>41</v>
      </c>
      <c r="C2" s="3" t="s">
        <v>223</v>
      </c>
      <c r="D2" s="3" t="s">
        <v>224</v>
      </c>
      <c r="E2" s="3" t="s">
        <v>225</v>
      </c>
      <c r="F2" s="3" t="s">
        <v>226</v>
      </c>
      <c r="G2" s="3">
        <v>5</v>
      </c>
      <c r="H2" s="3">
        <v>4</v>
      </c>
      <c r="I2" s="7">
        <f t="shared" ref="I2:I29" si="0">G2+H2</f>
        <v>9</v>
      </c>
      <c r="J2" s="3" t="s">
        <v>227</v>
      </c>
      <c r="K2" s="3" t="s">
        <v>228</v>
      </c>
      <c r="L2" s="3" t="s">
        <v>228</v>
      </c>
      <c r="M2" s="3" t="s">
        <v>229</v>
      </c>
      <c r="N2" s="3" t="s">
        <v>230</v>
      </c>
      <c r="O2" s="3" t="s">
        <v>723</v>
      </c>
      <c r="P2" s="6">
        <v>46253</v>
      </c>
      <c r="Q2" s="6"/>
      <c r="R2" s="3" t="s">
        <v>231</v>
      </c>
      <c r="S2" s="3" t="s">
        <v>232</v>
      </c>
      <c r="T2" s="3" t="s">
        <v>233</v>
      </c>
    </row>
    <row r="3" spans="1:21" ht="39.6" customHeight="1">
      <c r="A3" s="3" t="s">
        <v>42</v>
      </c>
      <c r="B3" s="3" t="s">
        <v>45</v>
      </c>
      <c r="C3" s="3" t="s">
        <v>234</v>
      </c>
      <c r="D3" s="3" t="s">
        <v>235</v>
      </c>
      <c r="E3" s="3" t="s">
        <v>236</v>
      </c>
      <c r="F3" s="3" t="s">
        <v>237</v>
      </c>
      <c r="G3" s="3">
        <v>5</v>
      </c>
      <c r="H3" s="3">
        <v>3</v>
      </c>
      <c r="I3" s="7">
        <f t="shared" si="0"/>
        <v>8</v>
      </c>
      <c r="J3" s="3" t="s">
        <v>238</v>
      </c>
      <c r="K3" s="3" t="s">
        <v>239</v>
      </c>
      <c r="L3" s="3" t="s">
        <v>240</v>
      </c>
      <c r="M3" s="3" t="s">
        <v>241</v>
      </c>
      <c r="N3" s="3" t="s">
        <v>242</v>
      </c>
      <c r="O3" s="3" t="s">
        <v>19</v>
      </c>
      <c r="P3" s="6">
        <v>46239</v>
      </c>
      <c r="Q3" s="6"/>
      <c r="R3" s="3" t="s">
        <v>243</v>
      </c>
      <c r="S3" s="3" t="s">
        <v>244</v>
      </c>
      <c r="T3" s="3" t="s">
        <v>687</v>
      </c>
    </row>
    <row r="4" spans="1:21" ht="52.7" customHeight="1">
      <c r="A4" s="3" t="s">
        <v>42</v>
      </c>
      <c r="B4" s="3" t="s">
        <v>54</v>
      </c>
      <c r="C4" s="3" t="s">
        <v>245</v>
      </c>
      <c r="D4" s="3" t="s">
        <v>246</v>
      </c>
      <c r="E4" s="3" t="s">
        <v>247</v>
      </c>
      <c r="F4" s="3" t="s">
        <v>248</v>
      </c>
      <c r="G4" s="3">
        <v>4</v>
      </c>
      <c r="H4" s="3">
        <v>4</v>
      </c>
      <c r="I4" s="7">
        <f t="shared" si="0"/>
        <v>8</v>
      </c>
      <c r="J4" s="3" t="s">
        <v>249</v>
      </c>
      <c r="K4" s="3" t="s">
        <v>250</v>
      </c>
      <c r="L4" s="3" t="s">
        <v>250</v>
      </c>
      <c r="M4" s="3" t="s">
        <v>251</v>
      </c>
      <c r="N4" s="3" t="s">
        <v>252</v>
      </c>
      <c r="O4" s="3" t="s">
        <v>19</v>
      </c>
      <c r="P4" s="6">
        <v>46239</v>
      </c>
      <c r="Q4" s="6"/>
      <c r="R4" s="3" t="s">
        <v>253</v>
      </c>
      <c r="S4" s="3" t="s">
        <v>254</v>
      </c>
      <c r="T4" s="3" t="s">
        <v>255</v>
      </c>
    </row>
    <row r="5" spans="1:21" ht="39.6" customHeight="1">
      <c r="A5" s="3" t="s">
        <v>42</v>
      </c>
      <c r="B5" s="3" t="s">
        <v>57</v>
      </c>
      <c r="C5" s="3" t="s">
        <v>256</v>
      </c>
      <c r="D5" s="3" t="s">
        <v>257</v>
      </c>
      <c r="E5" s="3" t="s">
        <v>258</v>
      </c>
      <c r="F5" s="3" t="s">
        <v>259</v>
      </c>
      <c r="G5" s="3">
        <v>4</v>
      </c>
      <c r="H5" s="3">
        <v>4</v>
      </c>
      <c r="I5" s="7">
        <f t="shared" si="0"/>
        <v>8</v>
      </c>
      <c r="J5" s="3" t="s">
        <v>260</v>
      </c>
      <c r="K5" s="3" t="s">
        <v>261</v>
      </c>
      <c r="L5" s="3" t="s">
        <v>261</v>
      </c>
      <c r="M5" s="3" t="s">
        <v>262</v>
      </c>
      <c r="N5" s="3" t="s">
        <v>263</v>
      </c>
      <c r="O5" s="3" t="s">
        <v>726</v>
      </c>
      <c r="P5" s="6">
        <v>46255</v>
      </c>
      <c r="Q5" s="6"/>
      <c r="R5" s="3" t="s">
        <v>264</v>
      </c>
      <c r="S5" s="3" t="s">
        <v>265</v>
      </c>
      <c r="T5" s="3" t="s">
        <v>266</v>
      </c>
    </row>
    <row r="6" spans="1:21" ht="52.7" customHeight="1">
      <c r="A6" s="3" t="s">
        <v>42</v>
      </c>
      <c r="B6" s="3" t="s">
        <v>267</v>
      </c>
      <c r="C6" s="3" t="s">
        <v>268</v>
      </c>
      <c r="D6" s="3" t="s">
        <v>269</v>
      </c>
      <c r="E6" s="3" t="s">
        <v>270</v>
      </c>
      <c r="F6" s="3" t="s">
        <v>271</v>
      </c>
      <c r="G6" s="3">
        <v>4</v>
      </c>
      <c r="H6" s="3">
        <v>3</v>
      </c>
      <c r="I6" s="7">
        <f t="shared" si="0"/>
        <v>7</v>
      </c>
      <c r="J6" s="3" t="s">
        <v>272</v>
      </c>
      <c r="K6" s="3" t="s">
        <v>273</v>
      </c>
      <c r="L6" s="3" t="s">
        <v>273</v>
      </c>
      <c r="M6" s="3" t="s">
        <v>274</v>
      </c>
      <c r="N6" s="3" t="s">
        <v>275</v>
      </c>
      <c r="O6" s="3" t="s">
        <v>19</v>
      </c>
      <c r="P6" s="6"/>
      <c r="Q6" s="6"/>
      <c r="R6" s="3" t="s">
        <v>276</v>
      </c>
      <c r="S6" s="3" t="s">
        <v>277</v>
      </c>
      <c r="T6" s="3" t="s">
        <v>278</v>
      </c>
    </row>
    <row r="7" spans="1:21" ht="39.6" customHeight="1">
      <c r="A7" s="3" t="s">
        <v>42</v>
      </c>
      <c r="B7" s="3" t="s">
        <v>279</v>
      </c>
      <c r="C7" s="3" t="s">
        <v>280</v>
      </c>
      <c r="D7" s="3" t="s">
        <v>281</v>
      </c>
      <c r="E7" s="3" t="s">
        <v>282</v>
      </c>
      <c r="F7" s="3" t="s">
        <v>283</v>
      </c>
      <c r="G7" s="3">
        <v>4</v>
      </c>
      <c r="H7" s="3">
        <v>3</v>
      </c>
      <c r="I7" s="7">
        <f t="shared" si="0"/>
        <v>7</v>
      </c>
      <c r="J7" s="3" t="s">
        <v>284</v>
      </c>
      <c r="K7" s="3" t="s">
        <v>285</v>
      </c>
      <c r="L7" s="3" t="s">
        <v>285</v>
      </c>
      <c r="M7" s="3" t="s">
        <v>284</v>
      </c>
      <c r="N7" s="3" t="s">
        <v>286</v>
      </c>
      <c r="O7" s="3" t="s">
        <v>19</v>
      </c>
      <c r="P7" s="6"/>
      <c r="Q7" s="6"/>
      <c r="R7" s="3" t="s">
        <v>287</v>
      </c>
      <c r="S7" s="3" t="s">
        <v>288</v>
      </c>
      <c r="T7" s="3" t="s">
        <v>289</v>
      </c>
    </row>
    <row r="8" spans="1:21" ht="39.6" customHeight="1">
      <c r="A8" s="3" t="s">
        <v>42</v>
      </c>
      <c r="B8" s="3" t="s">
        <v>290</v>
      </c>
      <c r="C8" s="3" t="s">
        <v>280</v>
      </c>
      <c r="D8" s="3" t="s">
        <v>291</v>
      </c>
      <c r="E8" s="3" t="s">
        <v>292</v>
      </c>
      <c r="F8" s="3" t="s">
        <v>293</v>
      </c>
      <c r="G8" s="3">
        <v>4</v>
      </c>
      <c r="H8" s="3">
        <v>3</v>
      </c>
      <c r="I8" s="7">
        <f t="shared" si="0"/>
        <v>7</v>
      </c>
      <c r="J8" s="3" t="s">
        <v>294</v>
      </c>
      <c r="K8" s="3" t="s">
        <v>295</v>
      </c>
      <c r="L8" s="3" t="s">
        <v>296</v>
      </c>
      <c r="M8" s="3" t="s">
        <v>294</v>
      </c>
      <c r="N8" s="3" t="s">
        <v>297</v>
      </c>
      <c r="O8" s="3" t="s">
        <v>19</v>
      </c>
      <c r="P8" s="6"/>
      <c r="Q8" s="6"/>
      <c r="R8" s="3" t="s">
        <v>298</v>
      </c>
      <c r="S8" s="3" t="s">
        <v>299</v>
      </c>
      <c r="T8" s="3" t="s">
        <v>300</v>
      </c>
    </row>
    <row r="9" spans="1:21" ht="39.6" customHeight="1">
      <c r="A9" s="3" t="s">
        <v>42</v>
      </c>
      <c r="B9" s="3" t="s">
        <v>301</v>
      </c>
      <c r="C9" s="3" t="s">
        <v>302</v>
      </c>
      <c r="D9" s="3" t="s">
        <v>303</v>
      </c>
      <c r="E9" s="3" t="s">
        <v>304</v>
      </c>
      <c r="F9" s="3" t="s">
        <v>305</v>
      </c>
      <c r="G9" s="3">
        <v>4</v>
      </c>
      <c r="H9" s="3">
        <v>4</v>
      </c>
      <c r="I9" s="7">
        <f t="shared" si="0"/>
        <v>8</v>
      </c>
      <c r="J9" s="3" t="s">
        <v>306</v>
      </c>
      <c r="K9" s="3" t="s">
        <v>307</v>
      </c>
      <c r="L9" s="3" t="s">
        <v>308</v>
      </c>
      <c r="M9" s="3" t="s">
        <v>309</v>
      </c>
      <c r="N9" s="3" t="s">
        <v>310</v>
      </c>
      <c r="O9" s="3" t="s">
        <v>19</v>
      </c>
      <c r="P9" s="6"/>
      <c r="Q9" s="6"/>
      <c r="R9" s="3" t="s">
        <v>311</v>
      </c>
      <c r="S9" s="3" t="s">
        <v>312</v>
      </c>
      <c r="T9" s="3" t="s">
        <v>313</v>
      </c>
    </row>
    <row r="10" spans="1:21" ht="39.6" customHeight="1">
      <c r="A10" s="3" t="s">
        <v>42</v>
      </c>
      <c r="B10" s="3" t="s">
        <v>314</v>
      </c>
      <c r="C10" s="3" t="s">
        <v>315</v>
      </c>
      <c r="D10" s="3" t="s">
        <v>316</v>
      </c>
      <c r="E10" s="3" t="s">
        <v>317</v>
      </c>
      <c r="F10" s="3" t="s">
        <v>318</v>
      </c>
      <c r="G10" s="3">
        <v>4</v>
      </c>
      <c r="H10" s="3">
        <v>4</v>
      </c>
      <c r="I10" s="7">
        <f t="shared" si="0"/>
        <v>8</v>
      </c>
      <c r="J10" s="3" t="s">
        <v>319</v>
      </c>
      <c r="K10" s="3" t="s">
        <v>320</v>
      </c>
      <c r="L10" s="3" t="s">
        <v>320</v>
      </c>
      <c r="M10" s="3" t="s">
        <v>321</v>
      </c>
      <c r="N10" s="3" t="s">
        <v>322</v>
      </c>
      <c r="O10" s="3" t="s">
        <v>19</v>
      </c>
      <c r="P10" s="6">
        <v>46253</v>
      </c>
      <c r="Q10" s="6"/>
      <c r="R10" s="3" t="s">
        <v>323</v>
      </c>
      <c r="S10" s="3" t="s">
        <v>324</v>
      </c>
      <c r="T10" s="3" t="s">
        <v>325</v>
      </c>
      <c r="U10" t="s">
        <v>724</v>
      </c>
    </row>
    <row r="11" spans="1:21" ht="39.6" customHeight="1">
      <c r="A11" s="3" t="s">
        <v>42</v>
      </c>
      <c r="B11" s="3" t="s">
        <v>326</v>
      </c>
      <c r="C11" s="3" t="s">
        <v>327</v>
      </c>
      <c r="D11" s="3" t="s">
        <v>328</v>
      </c>
      <c r="E11" s="3" t="s">
        <v>329</v>
      </c>
      <c r="F11" s="3" t="s">
        <v>330</v>
      </c>
      <c r="G11" s="3">
        <v>4</v>
      </c>
      <c r="H11" s="3">
        <v>4</v>
      </c>
      <c r="I11" s="7">
        <f t="shared" si="0"/>
        <v>8</v>
      </c>
      <c r="J11" s="3" t="s">
        <v>331</v>
      </c>
      <c r="K11" s="3" t="s">
        <v>332</v>
      </c>
      <c r="L11" s="3" t="s">
        <v>333</v>
      </c>
      <c r="M11" s="3" t="s">
        <v>331</v>
      </c>
      <c r="N11" s="3" t="s">
        <v>334</v>
      </c>
      <c r="O11" s="3" t="s">
        <v>19</v>
      </c>
      <c r="P11" s="6"/>
      <c r="Q11" s="6"/>
      <c r="R11" s="3" t="s">
        <v>335</v>
      </c>
      <c r="S11" s="3" t="s">
        <v>336</v>
      </c>
      <c r="T11" s="3" t="s">
        <v>337</v>
      </c>
    </row>
    <row r="12" spans="1:21" ht="39.6" customHeight="1">
      <c r="A12" s="3" t="s">
        <v>42</v>
      </c>
      <c r="B12" s="3" t="s">
        <v>338</v>
      </c>
      <c r="C12" s="3" t="s">
        <v>339</v>
      </c>
      <c r="D12" s="3" t="s">
        <v>340</v>
      </c>
      <c r="E12" s="3" t="s">
        <v>341</v>
      </c>
      <c r="F12" s="3" t="s">
        <v>342</v>
      </c>
      <c r="G12" s="3">
        <v>3</v>
      </c>
      <c r="H12" s="3">
        <v>3</v>
      </c>
      <c r="I12" s="7">
        <f t="shared" si="0"/>
        <v>6</v>
      </c>
      <c r="J12" s="3" t="s">
        <v>343</v>
      </c>
      <c r="K12" s="3" t="s">
        <v>344</v>
      </c>
      <c r="L12" s="3" t="s">
        <v>345</v>
      </c>
      <c r="M12" s="3" t="s">
        <v>346</v>
      </c>
      <c r="N12" s="3" t="s">
        <v>347</v>
      </c>
      <c r="O12" s="3" t="s">
        <v>725</v>
      </c>
      <c r="P12" s="6">
        <v>46255</v>
      </c>
      <c r="Q12" s="6"/>
      <c r="R12" s="3" t="s">
        <v>348</v>
      </c>
      <c r="S12" s="3" t="s">
        <v>349</v>
      </c>
      <c r="T12" s="3" t="s">
        <v>350</v>
      </c>
    </row>
    <row r="13" spans="1:21" ht="39.6" customHeight="1">
      <c r="A13" s="3" t="s">
        <v>42</v>
      </c>
      <c r="B13" s="3" t="s">
        <v>351</v>
      </c>
      <c r="C13" s="3" t="s">
        <v>352</v>
      </c>
      <c r="D13" s="3" t="s">
        <v>353</v>
      </c>
      <c r="E13" s="3" t="s">
        <v>354</v>
      </c>
      <c r="F13" s="3" t="s">
        <v>355</v>
      </c>
      <c r="G13" s="3">
        <v>3</v>
      </c>
      <c r="H13" s="3">
        <v>4</v>
      </c>
      <c r="I13" s="7">
        <f t="shared" si="0"/>
        <v>7</v>
      </c>
      <c r="J13" s="3" t="s">
        <v>356</v>
      </c>
      <c r="K13" s="3" t="s">
        <v>357</v>
      </c>
      <c r="L13" s="3" t="s">
        <v>358</v>
      </c>
      <c r="M13" s="3" t="s">
        <v>359</v>
      </c>
      <c r="N13" s="3" t="s">
        <v>360</v>
      </c>
      <c r="O13" s="3" t="s">
        <v>19</v>
      </c>
      <c r="P13" s="6"/>
      <c r="Q13" s="6"/>
      <c r="R13" s="3" t="s">
        <v>361</v>
      </c>
      <c r="S13" s="3" t="s">
        <v>362</v>
      </c>
      <c r="T13" s="3" t="s">
        <v>363</v>
      </c>
    </row>
    <row r="14" spans="1:21" ht="39.6" customHeight="1">
      <c r="A14" s="3" t="s">
        <v>42</v>
      </c>
      <c r="B14" s="3" t="s">
        <v>364</v>
      </c>
      <c r="C14" s="3" t="s">
        <v>280</v>
      </c>
      <c r="D14" s="3" t="s">
        <v>365</v>
      </c>
      <c r="E14" s="3" t="s">
        <v>366</v>
      </c>
      <c r="F14" s="3" t="s">
        <v>367</v>
      </c>
      <c r="G14" s="3">
        <v>3</v>
      </c>
      <c r="H14" s="3">
        <v>5</v>
      </c>
      <c r="I14" s="7">
        <f t="shared" si="0"/>
        <v>8</v>
      </c>
      <c r="J14" s="3" t="s">
        <v>368</v>
      </c>
      <c r="K14" s="3" t="s">
        <v>369</v>
      </c>
      <c r="L14" s="3" t="s">
        <v>368</v>
      </c>
      <c r="M14" s="3" t="s">
        <v>369</v>
      </c>
      <c r="N14" s="3" t="s">
        <v>370</v>
      </c>
      <c r="O14" s="3" t="s">
        <v>19</v>
      </c>
      <c r="P14" s="6"/>
      <c r="Q14" s="6"/>
      <c r="R14" s="3" t="s">
        <v>371</v>
      </c>
      <c r="S14" s="3" t="s">
        <v>372</v>
      </c>
      <c r="T14" s="3" t="s">
        <v>373</v>
      </c>
    </row>
    <row r="15" spans="1:21" ht="39.6" customHeight="1">
      <c r="A15" s="3" t="s">
        <v>42</v>
      </c>
      <c r="B15" s="3" t="s">
        <v>374</v>
      </c>
      <c r="C15" s="3" t="s">
        <v>375</v>
      </c>
      <c r="D15" s="3" t="s">
        <v>376</v>
      </c>
      <c r="E15" s="3" t="s">
        <v>377</v>
      </c>
      <c r="F15" s="3" t="s">
        <v>378</v>
      </c>
      <c r="G15" s="3">
        <v>3</v>
      </c>
      <c r="H15" s="3">
        <v>3</v>
      </c>
      <c r="I15" s="7">
        <f t="shared" si="0"/>
        <v>6</v>
      </c>
      <c r="J15" s="3" t="s">
        <v>379</v>
      </c>
      <c r="K15" s="3" t="s">
        <v>380</v>
      </c>
      <c r="L15" s="3" t="s">
        <v>380</v>
      </c>
      <c r="M15" s="3" t="s">
        <v>381</v>
      </c>
      <c r="N15" s="3" t="s">
        <v>382</v>
      </c>
      <c r="O15" s="3" t="s">
        <v>19</v>
      </c>
      <c r="P15" s="6">
        <v>46253</v>
      </c>
      <c r="Q15" s="6"/>
      <c r="R15" s="3" t="s">
        <v>383</v>
      </c>
      <c r="S15" s="3" t="s">
        <v>384</v>
      </c>
      <c r="T15" s="3" t="s">
        <v>385</v>
      </c>
    </row>
    <row r="16" spans="1:21" ht="52.7" customHeight="1">
      <c r="A16" s="3" t="s">
        <v>35</v>
      </c>
      <c r="B16" s="3" t="s">
        <v>34</v>
      </c>
      <c r="C16" s="3" t="s">
        <v>386</v>
      </c>
      <c r="D16" s="3" t="s">
        <v>387</v>
      </c>
      <c r="E16" s="3" t="s">
        <v>388</v>
      </c>
      <c r="F16" s="3" t="s">
        <v>389</v>
      </c>
      <c r="G16" s="3">
        <v>5</v>
      </c>
      <c r="H16" s="3">
        <v>5</v>
      </c>
      <c r="I16" s="7">
        <f t="shared" si="0"/>
        <v>10</v>
      </c>
      <c r="J16" s="3" t="s">
        <v>390</v>
      </c>
      <c r="K16" s="3" t="s">
        <v>391</v>
      </c>
      <c r="L16" s="3" t="s">
        <v>392</v>
      </c>
      <c r="M16" s="3" t="s">
        <v>393</v>
      </c>
      <c r="N16" s="3" t="s">
        <v>394</v>
      </c>
      <c r="O16" s="3" t="s">
        <v>19</v>
      </c>
      <c r="P16" s="21">
        <v>46272</v>
      </c>
      <c r="Q16" s="6"/>
      <c r="R16" s="3" t="s">
        <v>395</v>
      </c>
      <c r="S16" s="3" t="s">
        <v>396</v>
      </c>
      <c r="T16" s="3" t="s">
        <v>397</v>
      </c>
      <c r="U16" t="s">
        <v>731</v>
      </c>
    </row>
    <row r="17" spans="1:21" ht="52.7" customHeight="1">
      <c r="A17" s="3" t="s">
        <v>35</v>
      </c>
      <c r="B17" s="3" t="s">
        <v>38</v>
      </c>
      <c r="C17" s="3" t="s">
        <v>398</v>
      </c>
      <c r="D17" s="3" t="s">
        <v>399</v>
      </c>
      <c r="E17" s="3" t="s">
        <v>400</v>
      </c>
      <c r="F17" s="3" t="s">
        <v>401</v>
      </c>
      <c r="G17" s="3">
        <v>5</v>
      </c>
      <c r="H17" s="3">
        <v>5</v>
      </c>
      <c r="I17" s="7">
        <f t="shared" si="0"/>
        <v>10</v>
      </c>
      <c r="J17" s="3" t="s">
        <v>402</v>
      </c>
      <c r="K17" s="3" t="s">
        <v>403</v>
      </c>
      <c r="L17" s="3" t="s">
        <v>404</v>
      </c>
      <c r="M17" s="3" t="s">
        <v>405</v>
      </c>
      <c r="N17" s="3" t="s">
        <v>406</v>
      </c>
      <c r="O17" s="3" t="s">
        <v>19</v>
      </c>
      <c r="P17" s="6">
        <v>46239</v>
      </c>
      <c r="Q17" s="6"/>
      <c r="R17" s="3" t="s">
        <v>407</v>
      </c>
      <c r="S17" s="3" t="s">
        <v>408</v>
      </c>
      <c r="T17" s="3" t="s">
        <v>679</v>
      </c>
    </row>
    <row r="18" spans="1:21" ht="39.6" customHeight="1">
      <c r="A18" s="3" t="s">
        <v>35</v>
      </c>
      <c r="B18" s="3" t="s">
        <v>60</v>
      </c>
      <c r="C18" s="3" t="s">
        <v>409</v>
      </c>
      <c r="D18" s="3" t="s">
        <v>410</v>
      </c>
      <c r="E18" s="3" t="s">
        <v>411</v>
      </c>
      <c r="F18" s="3" t="s">
        <v>412</v>
      </c>
      <c r="G18" s="3">
        <v>4</v>
      </c>
      <c r="H18" s="3">
        <v>4</v>
      </c>
      <c r="I18" s="7">
        <f t="shared" si="0"/>
        <v>8</v>
      </c>
      <c r="J18" s="3" t="s">
        <v>413</v>
      </c>
      <c r="K18" s="3" t="s">
        <v>414</v>
      </c>
      <c r="L18" s="3" t="s">
        <v>415</v>
      </c>
      <c r="M18" s="3" t="s">
        <v>416</v>
      </c>
      <c r="N18" s="3" t="s">
        <v>417</v>
      </c>
      <c r="O18" s="3" t="s">
        <v>19</v>
      </c>
      <c r="P18" s="6">
        <v>46239</v>
      </c>
      <c r="Q18" s="6"/>
      <c r="R18" s="3" t="s">
        <v>418</v>
      </c>
      <c r="S18" s="3" t="s">
        <v>419</v>
      </c>
      <c r="T18" s="3" t="s">
        <v>680</v>
      </c>
    </row>
    <row r="19" spans="1:21" ht="52.7" customHeight="1">
      <c r="A19" s="3" t="s">
        <v>35</v>
      </c>
      <c r="B19" s="3" t="s">
        <v>420</v>
      </c>
      <c r="C19" s="3" t="s">
        <v>421</v>
      </c>
      <c r="D19" s="3" t="s">
        <v>422</v>
      </c>
      <c r="E19" s="3" t="s">
        <v>423</v>
      </c>
      <c r="F19" s="3" t="s">
        <v>424</v>
      </c>
      <c r="G19" s="3">
        <v>4</v>
      </c>
      <c r="H19" s="3">
        <v>3</v>
      </c>
      <c r="I19" s="7">
        <f t="shared" si="0"/>
        <v>7</v>
      </c>
      <c r="J19" s="3" t="s">
        <v>425</v>
      </c>
      <c r="K19" s="3" t="s">
        <v>426</v>
      </c>
      <c r="L19" s="3" t="s">
        <v>427</v>
      </c>
      <c r="M19" s="3" t="s">
        <v>426</v>
      </c>
      <c r="N19" s="3" t="s">
        <v>428</v>
      </c>
      <c r="O19" s="3" t="s">
        <v>19</v>
      </c>
      <c r="P19" s="6"/>
      <c r="Q19" s="6"/>
      <c r="R19" s="3" t="s">
        <v>429</v>
      </c>
      <c r="S19" s="3" t="s">
        <v>430</v>
      </c>
      <c r="T19" s="3" t="s">
        <v>431</v>
      </c>
    </row>
    <row r="20" spans="1:21" ht="39.6" customHeight="1">
      <c r="A20" s="3" t="s">
        <v>35</v>
      </c>
      <c r="B20" s="3" t="s">
        <v>432</v>
      </c>
      <c r="C20" s="3" t="s">
        <v>433</v>
      </c>
      <c r="D20" s="3" t="s">
        <v>434</v>
      </c>
      <c r="E20" s="3" t="s">
        <v>435</v>
      </c>
      <c r="F20" s="3" t="s">
        <v>436</v>
      </c>
      <c r="G20" s="3">
        <v>4</v>
      </c>
      <c r="H20" s="3">
        <v>4</v>
      </c>
      <c r="I20" s="7">
        <f t="shared" si="0"/>
        <v>8</v>
      </c>
      <c r="J20" s="3" t="s">
        <v>437</v>
      </c>
      <c r="K20" s="3" t="s">
        <v>438</v>
      </c>
      <c r="L20" s="3" t="s">
        <v>438</v>
      </c>
      <c r="M20" s="3" t="s">
        <v>439</v>
      </c>
      <c r="N20" s="3" t="s">
        <v>440</v>
      </c>
      <c r="O20" s="3" t="s">
        <v>19</v>
      </c>
      <c r="P20" s="6"/>
      <c r="Q20" s="6"/>
      <c r="R20" s="3" t="s">
        <v>441</v>
      </c>
      <c r="S20" s="3" t="s">
        <v>442</v>
      </c>
      <c r="T20" s="3" t="s">
        <v>443</v>
      </c>
    </row>
    <row r="21" spans="1:21" ht="39.6" customHeight="1">
      <c r="A21" s="3" t="s">
        <v>35</v>
      </c>
      <c r="B21" s="3" t="s">
        <v>48</v>
      </c>
      <c r="C21" s="22" t="s">
        <v>727</v>
      </c>
      <c r="D21" s="3" t="s">
        <v>444</v>
      </c>
      <c r="E21" s="3" t="s">
        <v>445</v>
      </c>
      <c r="F21" s="3" t="s">
        <v>446</v>
      </c>
      <c r="G21" s="3">
        <v>4</v>
      </c>
      <c r="H21" s="3">
        <v>4</v>
      </c>
      <c r="I21" s="7">
        <f t="shared" si="0"/>
        <v>8</v>
      </c>
      <c r="J21" s="3" t="s">
        <v>447</v>
      </c>
      <c r="K21" s="3" t="s">
        <v>448</v>
      </c>
      <c r="L21" s="3" t="s">
        <v>449</v>
      </c>
      <c r="M21" s="3" t="s">
        <v>450</v>
      </c>
      <c r="N21" s="3" t="s">
        <v>451</v>
      </c>
      <c r="O21" s="3" t="s">
        <v>19</v>
      </c>
      <c r="P21" s="6">
        <v>46259</v>
      </c>
      <c r="Q21" s="6"/>
      <c r="R21" s="3" t="s">
        <v>452</v>
      </c>
      <c r="S21" s="3" t="s">
        <v>453</v>
      </c>
      <c r="T21" s="3" t="s">
        <v>454</v>
      </c>
      <c r="U21" t="s">
        <v>722</v>
      </c>
    </row>
    <row r="22" spans="1:21" ht="39.6" customHeight="1">
      <c r="A22" s="3" t="s">
        <v>35</v>
      </c>
      <c r="B22" s="3" t="s">
        <v>455</v>
      </c>
      <c r="C22" s="3" t="s">
        <v>456</v>
      </c>
      <c r="D22" s="3" t="s">
        <v>457</v>
      </c>
      <c r="E22" s="3" t="s">
        <v>458</v>
      </c>
      <c r="F22" s="3" t="s">
        <v>459</v>
      </c>
      <c r="G22" s="3">
        <v>3</v>
      </c>
      <c r="H22" s="3">
        <v>5</v>
      </c>
      <c r="I22" s="7">
        <f t="shared" si="0"/>
        <v>8</v>
      </c>
      <c r="J22" s="3" t="s">
        <v>460</v>
      </c>
      <c r="K22" s="3" t="s">
        <v>461</v>
      </c>
      <c r="L22" s="3" t="s">
        <v>462</v>
      </c>
      <c r="M22" s="3" t="s">
        <v>463</v>
      </c>
      <c r="N22" s="3" t="s">
        <v>464</v>
      </c>
      <c r="O22" s="3" t="s">
        <v>19</v>
      </c>
      <c r="P22" s="21">
        <v>46240</v>
      </c>
      <c r="Q22" s="6"/>
      <c r="R22" s="3" t="s">
        <v>465</v>
      </c>
      <c r="S22" s="3" t="s">
        <v>466</v>
      </c>
      <c r="T22" s="3" t="s">
        <v>467</v>
      </c>
      <c r="U22" t="s">
        <v>705</v>
      </c>
    </row>
    <row r="23" spans="1:21" ht="39.6" customHeight="1">
      <c r="A23" s="3" t="s">
        <v>35</v>
      </c>
      <c r="B23" s="3" t="s">
        <v>468</v>
      </c>
      <c r="C23" s="3" t="s">
        <v>469</v>
      </c>
      <c r="D23" s="3" t="s">
        <v>470</v>
      </c>
      <c r="E23" s="3" t="s">
        <v>471</v>
      </c>
      <c r="F23" s="3" t="s">
        <v>472</v>
      </c>
      <c r="G23" s="3">
        <v>3</v>
      </c>
      <c r="H23" s="3">
        <v>4</v>
      </c>
      <c r="I23" s="7">
        <f t="shared" si="0"/>
        <v>7</v>
      </c>
      <c r="J23" s="3" t="s">
        <v>473</v>
      </c>
      <c r="K23" s="3" t="s">
        <v>474</v>
      </c>
      <c r="L23" s="3" t="s">
        <v>473</v>
      </c>
      <c r="M23" s="3" t="s">
        <v>473</v>
      </c>
      <c r="N23" s="3" t="s">
        <v>475</v>
      </c>
      <c r="O23" s="3" t="s">
        <v>19</v>
      </c>
      <c r="P23" s="6"/>
      <c r="Q23" s="6"/>
      <c r="R23" s="3" t="s">
        <v>476</v>
      </c>
      <c r="S23" s="3" t="s">
        <v>477</v>
      </c>
      <c r="T23" s="3" t="s">
        <v>478</v>
      </c>
    </row>
    <row r="24" spans="1:21" ht="39.6" customHeight="1">
      <c r="A24" s="3" t="s">
        <v>35</v>
      </c>
      <c r="B24" s="3" t="s">
        <v>479</v>
      </c>
      <c r="C24" s="3" t="s">
        <v>480</v>
      </c>
      <c r="D24" s="3" t="s">
        <v>481</v>
      </c>
      <c r="E24" s="3" t="s">
        <v>482</v>
      </c>
      <c r="F24" s="3" t="s">
        <v>483</v>
      </c>
      <c r="G24" s="3">
        <v>3</v>
      </c>
      <c r="H24" s="3">
        <v>3</v>
      </c>
      <c r="I24" s="7">
        <f t="shared" si="0"/>
        <v>6</v>
      </c>
      <c r="J24" s="3" t="s">
        <v>484</v>
      </c>
      <c r="K24" s="3" t="s">
        <v>485</v>
      </c>
      <c r="L24" s="3" t="s">
        <v>486</v>
      </c>
      <c r="M24" s="3" t="s">
        <v>487</v>
      </c>
      <c r="N24" s="3" t="s">
        <v>488</v>
      </c>
      <c r="O24" s="3" t="s">
        <v>19</v>
      </c>
      <c r="P24" s="21">
        <v>46240</v>
      </c>
      <c r="Q24" s="6"/>
      <c r="R24" s="3" t="s">
        <v>489</v>
      </c>
      <c r="S24" s="3" t="s">
        <v>490</v>
      </c>
      <c r="T24" s="3" t="s">
        <v>491</v>
      </c>
      <c r="U24" t="s">
        <v>702</v>
      </c>
    </row>
    <row r="25" spans="1:21" ht="39.6" customHeight="1">
      <c r="A25" s="3" t="s">
        <v>35</v>
      </c>
      <c r="B25" s="3" t="s">
        <v>492</v>
      </c>
      <c r="C25" s="3" t="s">
        <v>480</v>
      </c>
      <c r="D25" s="3" t="s">
        <v>493</v>
      </c>
      <c r="E25" s="3" t="s">
        <v>494</v>
      </c>
      <c r="F25" s="3" t="s">
        <v>495</v>
      </c>
      <c r="G25" s="3">
        <v>3</v>
      </c>
      <c r="H25" s="3">
        <v>4</v>
      </c>
      <c r="I25" s="7">
        <f t="shared" si="0"/>
        <v>7</v>
      </c>
      <c r="J25" s="3" t="s">
        <v>496</v>
      </c>
      <c r="K25" s="3" t="s">
        <v>497</v>
      </c>
      <c r="L25" s="3" t="s">
        <v>497</v>
      </c>
      <c r="M25" s="3" t="s">
        <v>498</v>
      </c>
      <c r="N25" s="3" t="s">
        <v>499</v>
      </c>
      <c r="O25" s="3" t="s">
        <v>19</v>
      </c>
      <c r="P25" s="6"/>
      <c r="Q25" s="6"/>
      <c r="R25" s="3" t="s">
        <v>500</v>
      </c>
      <c r="S25" s="3" t="s">
        <v>501</v>
      </c>
      <c r="T25" s="3" t="s">
        <v>502</v>
      </c>
    </row>
    <row r="26" spans="1:21" ht="39.6" customHeight="1">
      <c r="A26" s="3" t="s">
        <v>35</v>
      </c>
      <c r="B26" s="3" t="s">
        <v>503</v>
      </c>
      <c r="C26" s="3" t="s">
        <v>480</v>
      </c>
      <c r="D26" s="3" t="s">
        <v>504</v>
      </c>
      <c r="E26" s="3" t="s">
        <v>505</v>
      </c>
      <c r="F26" s="3" t="s">
        <v>506</v>
      </c>
      <c r="G26" s="3">
        <v>3</v>
      </c>
      <c r="H26" s="3">
        <v>4</v>
      </c>
      <c r="I26" s="7">
        <f t="shared" si="0"/>
        <v>7</v>
      </c>
      <c r="J26" s="3" t="s">
        <v>507</v>
      </c>
      <c r="K26" s="3" t="s">
        <v>508</v>
      </c>
      <c r="L26" s="3" t="s">
        <v>509</v>
      </c>
      <c r="M26" s="3" t="s">
        <v>508</v>
      </c>
      <c r="N26" s="3" t="s">
        <v>510</v>
      </c>
      <c r="O26" s="3" t="s">
        <v>19</v>
      </c>
      <c r="P26" s="6"/>
      <c r="Q26" s="6"/>
      <c r="R26" s="3" t="s">
        <v>511</v>
      </c>
      <c r="S26" s="3" t="s">
        <v>512</v>
      </c>
      <c r="T26" s="3" t="s">
        <v>513</v>
      </c>
    </row>
    <row r="27" spans="1:21" ht="39.6" customHeight="1">
      <c r="A27" s="3" t="s">
        <v>35</v>
      </c>
      <c r="B27" s="3" t="s">
        <v>514</v>
      </c>
      <c r="C27" s="3" t="s">
        <v>480</v>
      </c>
      <c r="D27" s="3" t="s">
        <v>515</v>
      </c>
      <c r="E27" s="3" t="s">
        <v>516</v>
      </c>
      <c r="F27" s="3" t="s">
        <v>517</v>
      </c>
      <c r="G27" s="3">
        <v>3</v>
      </c>
      <c r="H27" s="3">
        <v>3</v>
      </c>
      <c r="I27" s="7">
        <f t="shared" si="0"/>
        <v>6</v>
      </c>
      <c r="J27" s="3" t="s">
        <v>518</v>
      </c>
      <c r="K27" s="3" t="s">
        <v>519</v>
      </c>
      <c r="L27" s="3" t="s">
        <v>519</v>
      </c>
      <c r="M27" s="3" t="s">
        <v>520</v>
      </c>
      <c r="N27" s="3" t="s">
        <v>521</v>
      </c>
      <c r="O27" s="3" t="s">
        <v>19</v>
      </c>
      <c r="P27" s="6"/>
      <c r="Q27" s="6"/>
      <c r="R27" s="3" t="s">
        <v>522</v>
      </c>
      <c r="S27" s="3" t="s">
        <v>523</v>
      </c>
      <c r="T27" s="3" t="s">
        <v>524</v>
      </c>
    </row>
    <row r="28" spans="1:21" ht="66" customHeight="1">
      <c r="A28" s="3" t="s">
        <v>35</v>
      </c>
      <c r="B28" s="3" t="s">
        <v>525</v>
      </c>
      <c r="C28" s="3" t="s">
        <v>526</v>
      </c>
      <c r="D28" s="3" t="s">
        <v>527</v>
      </c>
      <c r="E28" s="3" t="s">
        <v>528</v>
      </c>
      <c r="F28" s="3" t="s">
        <v>529</v>
      </c>
      <c r="G28" s="3">
        <v>3</v>
      </c>
      <c r="H28" s="3">
        <v>3</v>
      </c>
      <c r="I28" s="7">
        <f t="shared" si="0"/>
        <v>6</v>
      </c>
      <c r="J28" s="3" t="s">
        <v>530</v>
      </c>
      <c r="K28" s="3" t="s">
        <v>531</v>
      </c>
      <c r="L28" s="3" t="s">
        <v>531</v>
      </c>
      <c r="M28" s="3" t="s">
        <v>532</v>
      </c>
      <c r="N28" s="3" t="s">
        <v>533</v>
      </c>
      <c r="O28" s="3" t="s">
        <v>19</v>
      </c>
      <c r="P28" s="6"/>
      <c r="Q28" s="6"/>
      <c r="R28" s="3" t="s">
        <v>534</v>
      </c>
      <c r="S28" s="3" t="s">
        <v>535</v>
      </c>
      <c r="T28" s="3" t="s">
        <v>536</v>
      </c>
    </row>
    <row r="29" spans="1:21" ht="39.6" customHeight="1">
      <c r="A29" s="3" t="s">
        <v>35</v>
      </c>
      <c r="B29" s="3" t="s">
        <v>537</v>
      </c>
      <c r="C29" s="3" t="s">
        <v>538</v>
      </c>
      <c r="D29" s="3" t="s">
        <v>539</v>
      </c>
      <c r="E29" s="3" t="s">
        <v>540</v>
      </c>
      <c r="F29" s="3" t="s">
        <v>541</v>
      </c>
      <c r="G29" s="3">
        <v>3</v>
      </c>
      <c r="H29" s="3">
        <v>3</v>
      </c>
      <c r="I29" s="7">
        <f t="shared" si="0"/>
        <v>6</v>
      </c>
      <c r="J29" s="3" t="s">
        <v>542</v>
      </c>
      <c r="K29" s="3" t="s">
        <v>543</v>
      </c>
      <c r="L29" s="3" t="s">
        <v>543</v>
      </c>
      <c r="M29" s="3" t="s">
        <v>544</v>
      </c>
      <c r="N29" s="3" t="s">
        <v>545</v>
      </c>
      <c r="O29" s="3" t="s">
        <v>19</v>
      </c>
      <c r="P29" s="6"/>
      <c r="Q29" s="6"/>
      <c r="R29" s="3" t="s">
        <v>546</v>
      </c>
      <c r="S29" s="3" t="s">
        <v>547</v>
      </c>
      <c r="T29" s="3" t="s">
        <v>548</v>
      </c>
    </row>
    <row r="30" spans="1:21">
      <c r="A30" t="s">
        <v>688</v>
      </c>
      <c r="B30" t="s">
        <v>684</v>
      </c>
      <c r="C30" t="s">
        <v>689</v>
      </c>
      <c r="D30" t="s">
        <v>694</v>
      </c>
      <c r="O30" s="3"/>
      <c r="P30" s="17">
        <v>46239</v>
      </c>
      <c r="U30" t="s">
        <v>686</v>
      </c>
    </row>
    <row r="31" spans="1:21" ht="15.75" thickBot="1">
      <c r="A31" s="18" t="s">
        <v>690</v>
      </c>
      <c r="B31" t="s">
        <v>691</v>
      </c>
      <c r="C31" t="s">
        <v>692</v>
      </c>
      <c r="D31" t="s">
        <v>693</v>
      </c>
      <c r="P31" s="25" t="s">
        <v>695</v>
      </c>
      <c r="U31" t="s">
        <v>686</v>
      </c>
    </row>
    <row r="32" spans="1:21" ht="16.5" thickTop="1" thickBot="1">
      <c r="A32" s="23" t="s">
        <v>728</v>
      </c>
      <c r="B32" t="s">
        <v>696</v>
      </c>
      <c r="D32" s="19" t="s">
        <v>693</v>
      </c>
      <c r="P32" s="26" t="s">
        <v>695</v>
      </c>
      <c r="Q32" t="s">
        <v>722</v>
      </c>
      <c r="U32" s="20" t="s">
        <v>686</v>
      </c>
    </row>
    <row r="33" spans="1:21" ht="15.75" thickTop="1">
      <c r="B33" t="s">
        <v>697</v>
      </c>
      <c r="C33" t="s">
        <v>698</v>
      </c>
      <c r="D33" s="19" t="s">
        <v>693</v>
      </c>
      <c r="P33" s="27">
        <v>46240</v>
      </c>
      <c r="U33" s="20" t="s">
        <v>686</v>
      </c>
    </row>
    <row r="34" spans="1:21" ht="15">
      <c r="B34" t="s">
        <v>699</v>
      </c>
      <c r="C34" t="s">
        <v>700</v>
      </c>
      <c r="P34" s="27">
        <v>46240</v>
      </c>
    </row>
    <row r="35" spans="1:21" ht="15">
      <c r="B35" t="s">
        <v>703</v>
      </c>
      <c r="C35" t="s">
        <v>700</v>
      </c>
      <c r="D35" t="s">
        <v>704</v>
      </c>
      <c r="P35" s="27">
        <v>46240</v>
      </c>
    </row>
    <row r="36" spans="1:21" ht="15">
      <c r="B36" t="s">
        <v>706</v>
      </c>
      <c r="C36" t="s">
        <v>707</v>
      </c>
      <c r="D36" t="s">
        <v>708</v>
      </c>
      <c r="P36" s="27">
        <v>46249</v>
      </c>
      <c r="Q36" s="18" t="s">
        <v>720</v>
      </c>
    </row>
    <row r="37" spans="1:21" ht="15">
      <c r="B37" t="s">
        <v>709</v>
      </c>
      <c r="C37" t="s">
        <v>707</v>
      </c>
      <c r="D37" t="s">
        <v>708</v>
      </c>
      <c r="P37" s="27">
        <v>46249</v>
      </c>
      <c r="Q37" s="18" t="s">
        <v>719</v>
      </c>
    </row>
    <row r="38" spans="1:21" ht="15">
      <c r="B38" t="s">
        <v>711</v>
      </c>
      <c r="C38" t="s">
        <v>712</v>
      </c>
      <c r="D38" t="s">
        <v>710</v>
      </c>
      <c r="P38" s="27">
        <v>46249</v>
      </c>
    </row>
    <row r="39" spans="1:21" ht="15">
      <c r="B39" t="s">
        <v>713</v>
      </c>
      <c r="C39" t="s">
        <v>689</v>
      </c>
      <c r="D39" t="s">
        <v>714</v>
      </c>
      <c r="P39" s="27">
        <v>46249</v>
      </c>
    </row>
    <row r="40" spans="1:21" ht="15">
      <c r="A40" t="s">
        <v>717</v>
      </c>
      <c r="B40" t="s">
        <v>715</v>
      </c>
      <c r="C40" t="s">
        <v>718</v>
      </c>
      <c r="D40" t="s">
        <v>716</v>
      </c>
      <c r="P40" s="27">
        <v>46249</v>
      </c>
    </row>
    <row r="41" spans="1:21" ht="15">
      <c r="B41" t="s">
        <v>729</v>
      </c>
      <c r="C41" t="s">
        <v>707</v>
      </c>
      <c r="D41" t="s">
        <v>701</v>
      </c>
      <c r="P41" s="24" t="s">
        <v>718</v>
      </c>
      <c r="Q41" t="s">
        <v>722</v>
      </c>
    </row>
    <row r="42" spans="1:21">
      <c r="B42" t="s">
        <v>730</v>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dxfId="3" priority="2">
      <formula>O2="Not contacted"</formula>
    </cfRule>
    <cfRule type="expression" dxfId="2" priority="3">
      <formula>O2="Applied"</formula>
    </cfRule>
    <cfRule type="expression" dxfId="1" priority="4">
      <formula>O2="Interviewing"</formula>
    </cfRule>
  </conditionalFormatting>
  <dataValidations count="1">
    <dataValidation type="list" sqref="O2:O29 P30" xr:uid="{00000000-0002-0000-0200-000000000000}">
      <formula1>"Not contacted,Applied,Messaged,Followed up,Interviewing,Rejected,Paused,Closed,Won"</formula1>
    </dataValidation>
  </dataValidations>
  <hyperlinks>
    <hyperlink ref="A32" r:id="rId1" display="https://app.tealhq.com/ai-job-search" xr:uid="{69221266-9584-4E20-81DA-3A732133007B}"/>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
  <sheetViews>
    <sheetView workbookViewId="0"/>
  </sheetViews>
  <sheetFormatPr defaultRowHeight="14.25"/>
  <cols>
    <col min="1" max="1" width="30" customWidth="1"/>
    <col min="2" max="2" width="12" customWidth="1"/>
    <col min="3" max="4" width="28" customWidth="1"/>
    <col min="5" max="6" width="16" customWidth="1"/>
    <col min="7" max="7" width="18" customWidth="1"/>
    <col min="8" max="8" width="32" customWidth="1"/>
    <col min="9" max="9" width="40" customWidth="1"/>
  </cols>
  <sheetData>
    <row r="1" spans="1:9" ht="15" customHeight="1">
      <c r="A1" s="5" t="s">
        <v>63</v>
      </c>
      <c r="B1" s="5" t="s">
        <v>31</v>
      </c>
      <c r="C1" s="5" t="s">
        <v>549</v>
      </c>
      <c r="D1" s="5" t="s">
        <v>550</v>
      </c>
      <c r="E1" s="5" t="s">
        <v>551</v>
      </c>
      <c r="F1" s="5" t="s">
        <v>78</v>
      </c>
      <c r="G1" s="5" t="s">
        <v>552</v>
      </c>
      <c r="H1" s="5" t="s">
        <v>553</v>
      </c>
      <c r="I1" s="5" t="s">
        <v>222</v>
      </c>
    </row>
    <row r="2" spans="1:9" ht="15" customHeight="1">
      <c r="A2" s="3" t="s">
        <v>41</v>
      </c>
      <c r="B2" s="3" t="s">
        <v>42</v>
      </c>
      <c r="C2" s="3"/>
      <c r="D2" s="3"/>
      <c r="E2" s="6"/>
      <c r="F2" s="6" t="str">
        <f t="shared" ref="F2:F29" si="0">IF(E2="","",E2+7)</f>
        <v/>
      </c>
      <c r="G2" s="3" t="s">
        <v>554</v>
      </c>
      <c r="H2" s="3"/>
      <c r="I2" s="3"/>
    </row>
    <row r="3" spans="1:9" ht="15" customHeight="1">
      <c r="A3" s="3" t="s">
        <v>45</v>
      </c>
      <c r="B3" s="3" t="s">
        <v>42</v>
      </c>
      <c r="C3" s="3"/>
      <c r="D3" s="3"/>
      <c r="E3" s="6"/>
      <c r="F3" s="6" t="str">
        <f t="shared" si="0"/>
        <v/>
      </c>
      <c r="G3" s="3" t="s">
        <v>554</v>
      </c>
      <c r="H3" s="3"/>
      <c r="I3" s="3"/>
    </row>
    <row r="4" spans="1:9" ht="15" customHeight="1">
      <c r="A4" s="3" t="s">
        <v>54</v>
      </c>
      <c r="B4" s="3" t="s">
        <v>42</v>
      </c>
      <c r="C4" s="3"/>
      <c r="D4" s="3"/>
      <c r="E4" s="6"/>
      <c r="F4" s="6" t="str">
        <f t="shared" si="0"/>
        <v/>
      </c>
      <c r="G4" s="3" t="s">
        <v>554</v>
      </c>
      <c r="H4" s="3"/>
      <c r="I4" s="3"/>
    </row>
    <row r="5" spans="1:9" ht="15" customHeight="1">
      <c r="A5" s="3" t="s">
        <v>57</v>
      </c>
      <c r="B5" s="3" t="s">
        <v>42</v>
      </c>
      <c r="C5" s="3"/>
      <c r="D5" s="3"/>
      <c r="E5" s="6"/>
      <c r="F5" s="6" t="str">
        <f t="shared" si="0"/>
        <v/>
      </c>
      <c r="G5" s="3" t="s">
        <v>554</v>
      </c>
      <c r="H5" s="3"/>
      <c r="I5" s="3"/>
    </row>
    <row r="6" spans="1:9" ht="15" customHeight="1">
      <c r="A6" s="3" t="s">
        <v>267</v>
      </c>
      <c r="B6" s="3" t="s">
        <v>42</v>
      </c>
      <c r="C6" s="3"/>
      <c r="D6" s="3"/>
      <c r="E6" s="6"/>
      <c r="F6" s="6" t="str">
        <f t="shared" si="0"/>
        <v/>
      </c>
      <c r="G6" s="3" t="s">
        <v>554</v>
      </c>
      <c r="H6" s="3"/>
      <c r="I6" s="3"/>
    </row>
    <row r="7" spans="1:9" ht="15" customHeight="1">
      <c r="A7" s="3" t="s">
        <v>279</v>
      </c>
      <c r="B7" s="3" t="s">
        <v>42</v>
      </c>
      <c r="C7" s="3"/>
      <c r="D7" s="3"/>
      <c r="E7" s="6"/>
      <c r="F7" s="6" t="str">
        <f t="shared" si="0"/>
        <v/>
      </c>
      <c r="G7" s="3" t="s">
        <v>554</v>
      </c>
      <c r="H7" s="3"/>
      <c r="I7" s="3"/>
    </row>
    <row r="8" spans="1:9" ht="15" customHeight="1">
      <c r="A8" s="3" t="s">
        <v>290</v>
      </c>
      <c r="B8" s="3" t="s">
        <v>42</v>
      </c>
      <c r="C8" s="3"/>
      <c r="D8" s="3"/>
      <c r="E8" s="6"/>
      <c r="F8" s="6" t="str">
        <f t="shared" si="0"/>
        <v/>
      </c>
      <c r="G8" s="3" t="s">
        <v>554</v>
      </c>
      <c r="H8" s="3"/>
      <c r="I8" s="3"/>
    </row>
    <row r="9" spans="1:9" ht="15" customHeight="1">
      <c r="A9" s="3" t="s">
        <v>301</v>
      </c>
      <c r="B9" s="3" t="s">
        <v>42</v>
      </c>
      <c r="C9" s="3"/>
      <c r="D9" s="3"/>
      <c r="E9" s="6"/>
      <c r="F9" s="6" t="str">
        <f t="shared" si="0"/>
        <v/>
      </c>
      <c r="G9" s="3" t="s">
        <v>554</v>
      </c>
      <c r="H9" s="3"/>
      <c r="I9" s="3"/>
    </row>
    <row r="10" spans="1:9" ht="15" customHeight="1">
      <c r="A10" s="3" t="s">
        <v>314</v>
      </c>
      <c r="B10" s="3" t="s">
        <v>42</v>
      </c>
      <c r="C10" s="3"/>
      <c r="D10" s="3"/>
      <c r="E10" s="6"/>
      <c r="F10" s="6" t="str">
        <f t="shared" si="0"/>
        <v/>
      </c>
      <c r="G10" s="3" t="s">
        <v>554</v>
      </c>
      <c r="H10" s="3"/>
      <c r="I10" s="3"/>
    </row>
    <row r="11" spans="1:9" ht="15" customHeight="1">
      <c r="A11" s="3" t="s">
        <v>326</v>
      </c>
      <c r="B11" s="3" t="s">
        <v>42</v>
      </c>
      <c r="C11" s="3"/>
      <c r="D11" s="3"/>
      <c r="E11" s="6"/>
      <c r="F11" s="6" t="str">
        <f t="shared" si="0"/>
        <v/>
      </c>
      <c r="G11" s="3" t="s">
        <v>554</v>
      </c>
      <c r="H11" s="3"/>
      <c r="I11" s="3"/>
    </row>
    <row r="12" spans="1:9" ht="15" customHeight="1">
      <c r="A12" s="3" t="s">
        <v>338</v>
      </c>
      <c r="B12" s="3" t="s">
        <v>42</v>
      </c>
      <c r="C12" s="3"/>
      <c r="D12" s="3"/>
      <c r="E12" s="6"/>
      <c r="F12" s="6" t="str">
        <f t="shared" si="0"/>
        <v/>
      </c>
      <c r="G12" s="3" t="s">
        <v>554</v>
      </c>
      <c r="H12" s="3"/>
      <c r="I12" s="3"/>
    </row>
    <row r="13" spans="1:9" ht="15" customHeight="1">
      <c r="A13" s="3" t="s">
        <v>351</v>
      </c>
      <c r="B13" s="3" t="s">
        <v>42</v>
      </c>
      <c r="C13" s="3"/>
      <c r="D13" s="3"/>
      <c r="E13" s="6"/>
      <c r="F13" s="6" t="str">
        <f t="shared" si="0"/>
        <v/>
      </c>
      <c r="G13" s="3" t="s">
        <v>554</v>
      </c>
      <c r="H13" s="3"/>
      <c r="I13" s="3"/>
    </row>
    <row r="14" spans="1:9" ht="15" customHeight="1">
      <c r="A14" s="3" t="s">
        <v>364</v>
      </c>
      <c r="B14" s="3" t="s">
        <v>42</v>
      </c>
      <c r="C14" s="3"/>
      <c r="D14" s="3"/>
      <c r="E14" s="6"/>
      <c r="F14" s="6" t="str">
        <f t="shared" si="0"/>
        <v/>
      </c>
      <c r="G14" s="3" t="s">
        <v>554</v>
      </c>
      <c r="H14" s="3"/>
      <c r="I14" s="3"/>
    </row>
    <row r="15" spans="1:9" ht="15" customHeight="1">
      <c r="A15" s="3" t="s">
        <v>374</v>
      </c>
      <c r="B15" s="3" t="s">
        <v>42</v>
      </c>
      <c r="C15" s="3"/>
      <c r="D15" s="3"/>
      <c r="E15" s="6"/>
      <c r="F15" s="6" t="str">
        <f t="shared" si="0"/>
        <v/>
      </c>
      <c r="G15" s="3" t="s">
        <v>554</v>
      </c>
      <c r="H15" s="3"/>
      <c r="I15" s="3"/>
    </row>
    <row r="16" spans="1:9" ht="15" customHeight="1">
      <c r="A16" s="3" t="s">
        <v>34</v>
      </c>
      <c r="B16" s="3" t="s">
        <v>35</v>
      </c>
      <c r="C16" s="3"/>
      <c r="D16" s="3"/>
      <c r="E16" s="6"/>
      <c r="F16" s="6" t="str">
        <f t="shared" si="0"/>
        <v/>
      </c>
      <c r="G16" s="3" t="s">
        <v>554</v>
      </c>
      <c r="H16" s="3"/>
      <c r="I16" s="3"/>
    </row>
    <row r="17" spans="1:9" ht="15" customHeight="1">
      <c r="A17" s="3" t="s">
        <v>38</v>
      </c>
      <c r="B17" s="3" t="s">
        <v>35</v>
      </c>
      <c r="C17" s="3"/>
      <c r="D17" s="3"/>
      <c r="E17" s="6"/>
      <c r="F17" s="6" t="str">
        <f t="shared" si="0"/>
        <v/>
      </c>
      <c r="G17" s="3" t="s">
        <v>554</v>
      </c>
      <c r="H17" s="3"/>
      <c r="I17" s="3"/>
    </row>
    <row r="18" spans="1:9" ht="15" customHeight="1">
      <c r="A18" s="3" t="s">
        <v>60</v>
      </c>
      <c r="B18" s="3" t="s">
        <v>35</v>
      </c>
      <c r="C18" s="3"/>
      <c r="D18" s="3"/>
      <c r="E18" s="6"/>
      <c r="F18" s="6" t="str">
        <f t="shared" si="0"/>
        <v/>
      </c>
      <c r="G18" s="3" t="s">
        <v>554</v>
      </c>
      <c r="H18" s="3"/>
      <c r="I18" s="3"/>
    </row>
    <row r="19" spans="1:9" ht="15" customHeight="1">
      <c r="A19" s="3" t="s">
        <v>420</v>
      </c>
      <c r="B19" s="3" t="s">
        <v>35</v>
      </c>
      <c r="C19" s="3"/>
      <c r="D19" s="3"/>
      <c r="E19" s="6"/>
      <c r="F19" s="6" t="str">
        <f t="shared" si="0"/>
        <v/>
      </c>
      <c r="G19" s="3" t="s">
        <v>554</v>
      </c>
      <c r="H19" s="3"/>
      <c r="I19" s="3"/>
    </row>
    <row r="20" spans="1:9" ht="15" customHeight="1">
      <c r="A20" s="3" t="s">
        <v>432</v>
      </c>
      <c r="B20" s="3" t="s">
        <v>35</v>
      </c>
      <c r="C20" s="3"/>
      <c r="D20" s="3"/>
      <c r="E20" s="6"/>
      <c r="F20" s="6" t="str">
        <f t="shared" si="0"/>
        <v/>
      </c>
      <c r="G20" s="3" t="s">
        <v>554</v>
      </c>
      <c r="H20" s="3"/>
      <c r="I20" s="3"/>
    </row>
    <row r="21" spans="1:9" ht="15" customHeight="1">
      <c r="A21" s="3" t="s">
        <v>48</v>
      </c>
      <c r="B21" s="3" t="s">
        <v>35</v>
      </c>
      <c r="C21" s="3"/>
      <c r="D21" s="3"/>
      <c r="E21" s="6"/>
      <c r="F21" s="6" t="str">
        <f t="shared" si="0"/>
        <v/>
      </c>
      <c r="G21" s="3" t="s">
        <v>554</v>
      </c>
      <c r="H21" s="3"/>
      <c r="I21" s="3"/>
    </row>
    <row r="22" spans="1:9" ht="15" customHeight="1">
      <c r="A22" s="3" t="s">
        <v>455</v>
      </c>
      <c r="B22" s="3" t="s">
        <v>35</v>
      </c>
      <c r="C22" s="3"/>
      <c r="D22" s="3"/>
      <c r="E22" s="6"/>
      <c r="F22" s="6" t="str">
        <f t="shared" si="0"/>
        <v/>
      </c>
      <c r="G22" s="3" t="s">
        <v>554</v>
      </c>
      <c r="H22" s="3"/>
      <c r="I22" s="3"/>
    </row>
    <row r="23" spans="1:9" ht="15" customHeight="1">
      <c r="A23" s="3" t="s">
        <v>468</v>
      </c>
      <c r="B23" s="3" t="s">
        <v>35</v>
      </c>
      <c r="C23" s="3"/>
      <c r="D23" s="3"/>
      <c r="E23" s="6"/>
      <c r="F23" s="6" t="str">
        <f t="shared" si="0"/>
        <v/>
      </c>
      <c r="G23" s="3" t="s">
        <v>554</v>
      </c>
      <c r="H23" s="3"/>
      <c r="I23" s="3"/>
    </row>
    <row r="24" spans="1:9" ht="15" customHeight="1">
      <c r="A24" s="3" t="s">
        <v>479</v>
      </c>
      <c r="B24" s="3" t="s">
        <v>35</v>
      </c>
      <c r="C24" s="3"/>
      <c r="D24" s="3"/>
      <c r="E24" s="6"/>
      <c r="F24" s="6" t="str">
        <f t="shared" si="0"/>
        <v/>
      </c>
      <c r="G24" s="3" t="s">
        <v>554</v>
      </c>
      <c r="H24" s="3"/>
      <c r="I24" s="3"/>
    </row>
    <row r="25" spans="1:9" ht="15" customHeight="1">
      <c r="A25" s="3" t="s">
        <v>492</v>
      </c>
      <c r="B25" s="3" t="s">
        <v>35</v>
      </c>
      <c r="C25" s="3"/>
      <c r="D25" s="3"/>
      <c r="E25" s="6"/>
      <c r="F25" s="6" t="str">
        <f t="shared" si="0"/>
        <v/>
      </c>
      <c r="G25" s="3" t="s">
        <v>554</v>
      </c>
      <c r="H25" s="3"/>
      <c r="I25" s="3"/>
    </row>
    <row r="26" spans="1:9" ht="15" customHeight="1">
      <c r="A26" s="3" t="s">
        <v>503</v>
      </c>
      <c r="B26" s="3" t="s">
        <v>35</v>
      </c>
      <c r="C26" s="3"/>
      <c r="D26" s="3"/>
      <c r="E26" s="6"/>
      <c r="F26" s="6" t="str">
        <f t="shared" si="0"/>
        <v/>
      </c>
      <c r="G26" s="3" t="s">
        <v>554</v>
      </c>
      <c r="H26" s="3"/>
      <c r="I26" s="3"/>
    </row>
    <row r="27" spans="1:9" ht="15" customHeight="1">
      <c r="A27" s="3" t="s">
        <v>514</v>
      </c>
      <c r="B27" s="3" t="s">
        <v>35</v>
      </c>
      <c r="C27" s="3"/>
      <c r="D27" s="3"/>
      <c r="E27" s="6"/>
      <c r="F27" s="6" t="str">
        <f t="shared" si="0"/>
        <v/>
      </c>
      <c r="G27" s="3" t="s">
        <v>554</v>
      </c>
      <c r="H27" s="3"/>
      <c r="I27" s="3"/>
    </row>
    <row r="28" spans="1:9" ht="15" customHeight="1">
      <c r="A28" s="3" t="s">
        <v>525</v>
      </c>
      <c r="B28" s="3" t="s">
        <v>35</v>
      </c>
      <c r="C28" s="3"/>
      <c r="D28" s="3"/>
      <c r="E28" s="6"/>
      <c r="F28" s="6" t="str">
        <f t="shared" si="0"/>
        <v/>
      </c>
      <c r="G28" s="3" t="s">
        <v>554</v>
      </c>
      <c r="H28" s="3"/>
      <c r="I28" s="3"/>
    </row>
    <row r="29" spans="1:9" ht="15" customHeight="1">
      <c r="A29" s="3" t="s">
        <v>537</v>
      </c>
      <c r="B29" s="3" t="s">
        <v>35</v>
      </c>
      <c r="C29" s="3"/>
      <c r="D29" s="3"/>
      <c r="E29" s="6"/>
      <c r="F29" s="6" t="str">
        <f t="shared" si="0"/>
        <v/>
      </c>
      <c r="G29" s="3" t="s">
        <v>554</v>
      </c>
      <c r="H29" s="3"/>
      <c r="I29" s="3"/>
    </row>
  </sheetData>
  <dataValidations count="1">
    <dataValidation type="list" sqref="G2:G29" xr:uid="{00000000-0002-0000-0300-000000000000}">
      <formula1>"No reply yet,Replied,Followed up,Rejected,Interviewing,Paused"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workbookViewId="0"/>
  </sheetViews>
  <sheetFormatPr defaultRowHeight="14.25"/>
  <cols>
    <col min="1" max="1" width="26" customWidth="1"/>
    <col min="2" max="2" width="90" customWidth="1"/>
  </cols>
  <sheetData>
    <row r="1" spans="1:2" ht="26.45" customHeight="1">
      <c r="A1" s="1" t="s">
        <v>555</v>
      </c>
      <c r="B1" s="1"/>
    </row>
    <row r="3" spans="1:2" ht="39.6" customHeight="1">
      <c r="A3" t="s">
        <v>556</v>
      </c>
      <c r="B3" t="s">
        <v>557</v>
      </c>
    </row>
    <row r="4" spans="1:2" ht="15" customHeight="1"/>
    <row r="5" spans="1:2" ht="105.6" customHeight="1">
      <c r="A5" t="s">
        <v>558</v>
      </c>
      <c r="B5" t="s">
        <v>559</v>
      </c>
    </row>
    <row r="6" spans="1:2" ht="15" customHeight="1"/>
    <row r="7" spans="1:2" ht="66" customHeight="1">
      <c r="A7" t="s">
        <v>560</v>
      </c>
      <c r="B7" t="s">
        <v>561</v>
      </c>
    </row>
    <row r="8" spans="1:2" ht="15" customHeight="1"/>
    <row r="9" spans="1:2" ht="52.7" customHeight="1">
      <c r="A9" t="s">
        <v>562</v>
      </c>
      <c r="B9" t="s">
        <v>563</v>
      </c>
    </row>
    <row r="10" spans="1:2" ht="15" customHeight="1"/>
    <row r="11" spans="1:2" ht="15" customHeight="1">
      <c r="A11" t="s">
        <v>564</v>
      </c>
      <c r="B11" t="s">
        <v>565</v>
      </c>
    </row>
    <row r="12" spans="1:2" ht="15" customHeight="1"/>
    <row r="13" spans="1:2" ht="15" customHeight="1">
      <c r="A13" t="s">
        <v>566</v>
      </c>
      <c r="B13" t="s">
        <v>567</v>
      </c>
    </row>
    <row r="14" spans="1:2" ht="15" customHeight="1"/>
    <row r="15" spans="1:2" ht="15" customHeight="1"/>
    <row r="16" spans="1:2" ht="15" customHeight="1"/>
    <row r="17" ht="15" customHeigh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1"/>
  <sheetViews>
    <sheetView workbookViewId="0"/>
  </sheetViews>
  <sheetFormatPr defaultRowHeight="14.25"/>
  <cols>
    <col min="1" max="1" width="28" customWidth="1"/>
    <col min="2" max="2" width="44" customWidth="1"/>
    <col min="3" max="3" width="80" customWidth="1"/>
  </cols>
  <sheetData>
    <row r="1" spans="1:3" ht="15" customHeight="1">
      <c r="A1" s="5" t="s">
        <v>568</v>
      </c>
      <c r="B1" s="5" t="s">
        <v>569</v>
      </c>
      <c r="C1" s="5" t="s">
        <v>570</v>
      </c>
    </row>
    <row r="2" spans="1:3" ht="26.45" customHeight="1">
      <c r="A2" s="3" t="s">
        <v>571</v>
      </c>
      <c r="B2" s="3" t="s">
        <v>572</v>
      </c>
      <c r="C2" s="3" t="s">
        <v>573</v>
      </c>
    </row>
    <row r="3" spans="1:3" ht="39.6" customHeight="1">
      <c r="A3" s="3" t="s">
        <v>574</v>
      </c>
      <c r="B3" s="3" t="s">
        <v>575</v>
      </c>
      <c r="C3" s="3" t="s">
        <v>576</v>
      </c>
    </row>
    <row r="4" spans="1:3" ht="26.45" customHeight="1">
      <c r="A4" s="3" t="s">
        <v>577</v>
      </c>
      <c r="B4" s="3" t="s">
        <v>578</v>
      </c>
      <c r="C4" s="3" t="s">
        <v>579</v>
      </c>
    </row>
    <row r="5" spans="1:3" ht="26.45" customHeight="1">
      <c r="A5" s="3" t="s">
        <v>580</v>
      </c>
      <c r="B5" s="3" t="s">
        <v>581</v>
      </c>
      <c r="C5" s="3" t="s">
        <v>369</v>
      </c>
    </row>
    <row r="6" spans="1:3" ht="26.45" customHeight="1">
      <c r="A6" s="3" t="s">
        <v>582</v>
      </c>
      <c r="B6" s="3" t="s">
        <v>583</v>
      </c>
      <c r="C6" s="3" t="s">
        <v>392</v>
      </c>
    </row>
    <row r="7" spans="1:3" ht="26.45" customHeight="1">
      <c r="A7" s="3" t="s">
        <v>584</v>
      </c>
      <c r="B7" s="3" t="s">
        <v>585</v>
      </c>
      <c r="C7" s="3" t="s">
        <v>404</v>
      </c>
    </row>
    <row r="8" spans="1:3" ht="26.45" customHeight="1">
      <c r="A8" s="3" t="s">
        <v>586</v>
      </c>
      <c r="B8" s="3" t="s">
        <v>587</v>
      </c>
      <c r="C8" s="3" t="s">
        <v>308</v>
      </c>
    </row>
    <row r="9" spans="1:3" ht="26.45" customHeight="1">
      <c r="A9" s="3" t="s">
        <v>588</v>
      </c>
      <c r="B9" s="3" t="s">
        <v>589</v>
      </c>
      <c r="C9" s="3" t="s">
        <v>320</v>
      </c>
    </row>
    <row r="10" spans="1:3" ht="39.6" customHeight="1">
      <c r="A10" s="3" t="s">
        <v>590</v>
      </c>
      <c r="B10" s="3" t="s">
        <v>591</v>
      </c>
      <c r="C10" s="3" t="s">
        <v>592</v>
      </c>
    </row>
    <row r="11" spans="1:3" ht="15" customHeight="1">
      <c r="A11" s="3" t="s">
        <v>593</v>
      </c>
      <c r="B11" s="3" t="s">
        <v>594</v>
      </c>
      <c r="C11" s="3" t="s">
        <v>595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5"/>
  <sheetViews>
    <sheetView workbookViewId="0"/>
  </sheetViews>
  <sheetFormatPr defaultRowHeight="14.25"/>
  <cols>
    <col min="1" max="1" width="8" customWidth="1"/>
    <col min="2" max="2" width="22" customWidth="1"/>
    <col min="3" max="3" width="58" customWidth="1"/>
    <col min="4" max="4" width="36" customWidth="1"/>
    <col min="5" max="5" width="10" customWidth="1"/>
    <col min="6" max="6" width="34" customWidth="1"/>
  </cols>
  <sheetData>
    <row r="1" spans="1:6" ht="15" customHeight="1">
      <c r="A1" s="5" t="s">
        <v>596</v>
      </c>
      <c r="B1" s="5" t="s">
        <v>597</v>
      </c>
      <c r="C1" s="5" t="s">
        <v>33</v>
      </c>
      <c r="D1" s="5" t="s">
        <v>598</v>
      </c>
      <c r="E1" s="5" t="s">
        <v>599</v>
      </c>
      <c r="F1" s="5" t="s">
        <v>222</v>
      </c>
    </row>
    <row r="2" spans="1:6" ht="26.45" customHeight="1">
      <c r="A2" s="3">
        <v>1</v>
      </c>
      <c r="B2" s="3" t="s">
        <v>600</v>
      </c>
      <c r="C2" s="3" t="s">
        <v>601</v>
      </c>
      <c r="D2" s="3" t="s">
        <v>602</v>
      </c>
      <c r="E2" s="3"/>
      <c r="F2" s="3"/>
    </row>
    <row r="3" spans="1:6" ht="15" customHeight="1">
      <c r="A3" s="3">
        <v>2</v>
      </c>
      <c r="B3" s="3" t="s">
        <v>603</v>
      </c>
      <c r="C3" s="3" t="s">
        <v>604</v>
      </c>
      <c r="D3" s="3" t="s">
        <v>605</v>
      </c>
      <c r="E3" s="3"/>
      <c r="F3" s="3"/>
    </row>
    <row r="4" spans="1:6" ht="15" customHeight="1">
      <c r="A4" s="3">
        <v>3</v>
      </c>
      <c r="B4" s="3" t="s">
        <v>606</v>
      </c>
      <c r="C4" s="3" t="s">
        <v>607</v>
      </c>
      <c r="D4" s="3" t="s">
        <v>602</v>
      </c>
      <c r="E4" s="3"/>
      <c r="F4" s="3"/>
    </row>
    <row r="5" spans="1:6" ht="15" customHeight="1">
      <c r="A5" s="3">
        <v>4</v>
      </c>
      <c r="B5" s="3" t="s">
        <v>608</v>
      </c>
      <c r="C5" s="3" t="s">
        <v>604</v>
      </c>
      <c r="D5" s="3" t="s">
        <v>605</v>
      </c>
      <c r="E5" s="3"/>
      <c r="F5" s="3"/>
    </row>
    <row r="6" spans="1:6" ht="15" customHeight="1">
      <c r="A6" s="3">
        <v>5</v>
      </c>
      <c r="B6" s="3" t="s">
        <v>609</v>
      </c>
      <c r="C6" s="3" t="s">
        <v>610</v>
      </c>
      <c r="D6" s="3" t="s">
        <v>611</v>
      </c>
      <c r="E6" s="3"/>
      <c r="F6" s="3"/>
    </row>
    <row r="7" spans="1:6" ht="26.45" customHeight="1">
      <c r="A7" s="3">
        <v>6</v>
      </c>
      <c r="B7" s="3" t="s">
        <v>612</v>
      </c>
      <c r="C7" s="3" t="s">
        <v>613</v>
      </c>
      <c r="D7" s="3" t="s">
        <v>614</v>
      </c>
      <c r="E7" s="3"/>
      <c r="F7" s="3"/>
    </row>
    <row r="8" spans="1:6" ht="15" customHeight="1">
      <c r="A8" s="3">
        <v>7</v>
      </c>
      <c r="B8" s="3" t="s">
        <v>615</v>
      </c>
      <c r="C8" s="3" t="s">
        <v>616</v>
      </c>
      <c r="D8" s="3" t="s">
        <v>617</v>
      </c>
      <c r="E8" s="3"/>
      <c r="F8" s="3"/>
    </row>
    <row r="9" spans="1:6" ht="15" customHeight="1">
      <c r="A9" s="3">
        <v>8</v>
      </c>
      <c r="B9" s="3" t="s">
        <v>618</v>
      </c>
      <c r="C9" s="3" t="s">
        <v>619</v>
      </c>
      <c r="D9" s="3" t="s">
        <v>620</v>
      </c>
      <c r="E9" s="3"/>
      <c r="F9" s="3"/>
    </row>
    <row r="10" spans="1:6" ht="15" customHeight="1">
      <c r="A10" s="3">
        <v>9</v>
      </c>
      <c r="B10" s="3" t="s">
        <v>621</v>
      </c>
      <c r="C10" s="3" t="s">
        <v>622</v>
      </c>
      <c r="D10" s="3" t="s">
        <v>623</v>
      </c>
      <c r="E10" s="3"/>
      <c r="F10" s="3"/>
    </row>
    <row r="11" spans="1:6" ht="15" customHeight="1">
      <c r="A11" s="3">
        <v>10</v>
      </c>
      <c r="B11" s="3" t="s">
        <v>624</v>
      </c>
      <c r="C11" s="3" t="s">
        <v>625</v>
      </c>
      <c r="D11" s="3" t="s">
        <v>626</v>
      </c>
      <c r="E11" s="3"/>
      <c r="F11" s="3"/>
    </row>
    <row r="12" spans="1:6" ht="15" customHeight="1">
      <c r="A12" s="3">
        <v>11</v>
      </c>
      <c r="B12" s="3" t="s">
        <v>627</v>
      </c>
      <c r="C12" s="3" t="s">
        <v>628</v>
      </c>
      <c r="D12" s="3" t="s">
        <v>629</v>
      </c>
      <c r="E12" s="3"/>
      <c r="F12" s="3"/>
    </row>
    <row r="13" spans="1:6" ht="15" customHeight="1">
      <c r="A13" s="3">
        <v>12</v>
      </c>
      <c r="B13" s="3" t="s">
        <v>630</v>
      </c>
      <c r="C13" s="3" t="s">
        <v>631</v>
      </c>
      <c r="D13" s="3" t="s">
        <v>632</v>
      </c>
      <c r="E13" s="3"/>
      <c r="F13" s="3"/>
    </row>
    <row r="14" spans="1:6" ht="15" customHeight="1">
      <c r="A14" s="3">
        <v>13</v>
      </c>
      <c r="B14" s="3" t="s">
        <v>633</v>
      </c>
      <c r="C14" s="3" t="s">
        <v>634</v>
      </c>
      <c r="D14" s="3" t="s">
        <v>635</v>
      </c>
      <c r="E14" s="3"/>
      <c r="F14" s="3"/>
    </row>
    <row r="15" spans="1:6" ht="15" customHeight="1">
      <c r="A15" s="3">
        <v>14</v>
      </c>
      <c r="B15" s="3" t="s">
        <v>636</v>
      </c>
      <c r="C15" s="3" t="s">
        <v>637</v>
      </c>
      <c r="D15" s="3" t="s">
        <v>638</v>
      </c>
      <c r="E15" s="3"/>
      <c r="F15" s="3"/>
    </row>
  </sheetData>
  <dataValidations count="1">
    <dataValidation type="list" sqref="E2:E15" xr:uid="{00000000-0002-0000-0600-000000000000}">
      <formula1>",Yes,No,Partial"</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Start_Here</vt:lpstr>
      <vt:lpstr>Research</vt:lpstr>
      <vt:lpstr>Existing_Madison</vt:lpstr>
      <vt:lpstr>Regional_Targets</vt:lpstr>
      <vt:lpstr>Tracker_Blank</vt:lpstr>
      <vt:lpstr>Outreach_Template</vt:lpstr>
      <vt:lpstr>Resources</vt:lpstr>
      <vt:lpstr>2_Week_Plan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BurgShot Homie</cp:lastModifiedBy>
  <dcterms:modified xsi:type="dcterms:W3CDTF">2026-09-07T21:33:47Z</dcterms:modified>
</cp:coreProperties>
</file>