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4">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xf numFmtId="0" fontId="0" fillId="5" borderId="0" pivotButton="0" quotePrefix="0" xfId="0"/>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41" t="inlineStr">
        <is>
          <t>Generated</t>
        </is>
      </c>
      <c r="B2" s="41" t="n">
        <v>46176</v>
      </c>
      <c r="C2" s="41" t="n"/>
      <c r="D2" s="41" t="n"/>
      <c r="E2" s="41" t="n"/>
      <c r="F2" s="41" t="n"/>
      <c r="G2" s="41" t="n"/>
      <c r="H2" s="41" t="n"/>
    </row>
    <row r="3" ht="15" customHeight="1">
      <c r="A3" s="41" t="n"/>
      <c r="B3" s="41" t="n"/>
      <c r="C3" s="41" t="n"/>
      <c r="D3" s="41" t="n"/>
      <c r="E3" s="41" t="n"/>
      <c r="F3" s="41" t="n"/>
      <c r="G3" s="41" t="n"/>
      <c r="H3" s="41"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41" t="n"/>
      <c r="B5" s="41" t="n"/>
      <c r="C5" s="41" t="n"/>
      <c r="D5" s="41" t="n"/>
      <c r="E5" s="41" t="n"/>
      <c r="F5" s="41" t="n"/>
      <c r="G5" s="41" t="n"/>
      <c r="H5" s="41" t="n"/>
    </row>
    <row r="6" ht="15" customHeight="1">
      <c r="A6" s="29" t="inlineStr">
        <is>
          <t>Metric</t>
        </is>
      </c>
      <c r="B6" s="29" t="inlineStr">
        <is>
          <t>Formula</t>
        </is>
      </c>
      <c r="C6" s="41" t="n"/>
      <c r="D6" s="34" t="inlineStr">
        <is>
          <t>Read this first</t>
        </is>
      </c>
    </row>
    <row r="7" ht="105.6" customHeight="1">
      <c r="A7" s="41" t="inlineStr">
        <is>
          <t>New regional targets</t>
        </is>
      </c>
      <c r="B7" s="41">
        <f>COUNTA(Regional_Targets!B2:B101)</f>
        <v/>
      </c>
      <c r="C7" s="41" t="n"/>
      <c r="D7" s="3" t="inlineStr">
        <is>
          <t>Best Milwaukee wave</t>
        </is>
      </c>
      <c r="E7" s="3" t="inlineStr">
        <is>
          <t>Rockwell Automation, Milwaukee Tool, Generac, Astronautics, GE HealthCare</t>
        </is>
      </c>
      <c r="F7" s="3" t="n"/>
      <c r="G7" s="3" t="n"/>
      <c r="H7" s="3" t="n"/>
    </row>
    <row r="8" ht="105.6" customHeight="1">
      <c r="A8" s="41" t="inlineStr">
        <is>
          <t>Chicago targets</t>
        </is>
      </c>
      <c r="B8" s="41">
        <f>COUNTIF(Regional_Targets!A2:A101,"Chicago")</f>
        <v/>
      </c>
      <c r="C8" s="41" t="n"/>
      <c r="D8" s="3" t="inlineStr">
        <is>
          <t>Best Chicago wave</t>
        </is>
      </c>
      <c r="E8" s="3" t="inlineStr">
        <is>
          <t>Motorola Solutions, Northrop Grumman, Molex, Shure, Argonne/Fermilab</t>
        </is>
      </c>
      <c r="F8" s="3" t="n"/>
      <c r="G8" s="3" t="n"/>
      <c r="H8" s="3" t="n"/>
    </row>
    <row r="9" ht="118.9" customHeight="1">
      <c r="A9" s="41" t="inlineStr">
        <is>
          <t>Milwaukee targets</t>
        </is>
      </c>
      <c r="B9" s="41">
        <f>COUNTIF(Regional_Targets!A2:A101,"Milwaukee")</f>
        <v/>
      </c>
      <c r="C9" s="41" t="n"/>
      <c r="D9" s="3" t="inlineStr">
        <is>
          <t>Best pure job-market move</t>
        </is>
      </c>
      <c r="E9" s="3" t="inlineStr">
        <is>
          <t>Apply where roles exist, then message engineers with one specific technical hook.</t>
        </is>
      </c>
      <c r="F9" s="3" t="n"/>
      <c r="G9" s="3" t="n"/>
      <c r="H9" s="3" t="n"/>
    </row>
    <row r="10" ht="118.9" customHeight="1">
      <c r="A10" s="41" t="inlineStr">
        <is>
          <t>Priority 9+ targets</t>
        </is>
      </c>
      <c r="B10" s="41">
        <f>COUNTIF(Regional_Targets!I2:I101,"&gt;=9")</f>
        <v/>
      </c>
      <c r="C10" s="41" t="n"/>
      <c r="D10" s="3" t="inlineStr">
        <is>
          <t>Best network move</t>
        </is>
      </c>
      <c r="E10" s="3" t="inlineStr">
        <is>
          <t>mHUB, Argonne, Fermilab, UW/MSOE/LinkedIn alumni, and company-specific engineers.</t>
        </is>
      </c>
      <c r="F10" s="3" t="n"/>
      <c r="G10" s="3" t="n"/>
      <c r="H10" s="3" t="n"/>
    </row>
    <row r="11" ht="118.9" customHeight="1">
      <c r="A11" s="41" t="inlineStr">
        <is>
          <t>Not contacted</t>
        </is>
      </c>
      <c r="B11" s="41">
        <f>COUNTIF(Regional_Targets!O2:O101,"Not contacted")</f>
        <v/>
      </c>
      <c r="C11" s="41" t="n"/>
      <c r="D11" s="3" t="inlineStr">
        <is>
          <t>Keyword base</t>
        </is>
      </c>
      <c r="E11" s="3" t="inlineStr">
        <is>
          <t>embedded, firmware, FPGA, RTL, electrical, validation, test, controls, power electronics.</t>
        </is>
      </c>
      <c r="F11" s="3" t="n"/>
      <c r="G11" s="3" t="n"/>
      <c r="H11" s="3" t="n"/>
    </row>
    <row r="12" ht="118.9" customHeight="1">
      <c r="A12" s="41" t="n"/>
      <c r="B12" s="41" t="n"/>
      <c r="C12" s="41" t="n"/>
      <c r="D12" s="3" t="inlineStr">
        <is>
          <t>Rule</t>
        </is>
      </c>
      <c r="E12" s="3" t="inlineStr">
        <is>
          <t>Do not wait for perfect fit. Hardware test / validation / controls can be a path into design.</t>
        </is>
      </c>
      <c r="F12" s="3" t="n"/>
      <c r="G12" s="3" t="n"/>
      <c r="H12" s="3" t="n"/>
    </row>
    <row r="13" ht="92.45" customHeight="1">
      <c r="A13" s="41" t="n"/>
      <c r="B13" s="41" t="n"/>
      <c r="C13" s="41" t="n"/>
      <c r="D13" s="3" t="inlineStr">
        <is>
          <t>Weekly quota</t>
        </is>
      </c>
      <c r="E13" s="3" t="inlineStr">
        <is>
          <t>Apply to 5 real roles + send 8 targeted messages + log every interaction.</t>
        </is>
      </c>
      <c r="F13" s="3" t="n"/>
      <c r="G13" s="3" t="n"/>
      <c r="H13" s="3" t="n"/>
    </row>
    <row r="14" ht="118.9" customHeight="1">
      <c r="A14" s="41" t="n"/>
      <c r="B14" s="41" t="n"/>
      <c r="C14" s="41" t="n"/>
      <c r="D14" s="3" t="inlineStr">
        <is>
          <t>Follow-up rule</t>
        </is>
      </c>
      <c r="E14" s="3" t="inlineStr">
        <is>
          <t>Follow up seven days after outreach unless the role is closed or they answer.</t>
        </is>
      </c>
      <c r="F14" s="3" t="n"/>
      <c r="G14" s="3" t="n"/>
      <c r="H14" s="3" t="n"/>
    </row>
    <row r="15" ht="105.6" customHeight="1">
      <c r="A15" s="41" t="n"/>
      <c r="B15" s="41" t="n"/>
      <c r="C15" s="41" t="n"/>
      <c r="D15" s="3" t="inlineStr">
        <is>
          <t>Reality check</t>
        </is>
      </c>
      <c r="E15" s="3" t="inlineStr">
        <is>
          <t>Chicago is broader but logistically harder; Milwaukee is closer and surprisingly aligned.</t>
        </is>
      </c>
      <c r="F15" s="3" t="n"/>
      <c r="G15" s="3" t="n"/>
      <c r="H15" s="3" t="n"/>
    </row>
    <row r="16" ht="15" customHeight="1">
      <c r="A16" s="41" t="n"/>
      <c r="B16" s="41" t="n"/>
      <c r="C16" s="41" t="n"/>
      <c r="D16" s="3" t="n"/>
      <c r="E16" s="3" t="n"/>
      <c r="F16" s="3" t="n"/>
      <c r="G16" s="3" t="n"/>
      <c r="H16" s="3" t="n"/>
    </row>
    <row r="17" ht="15" customHeight="1">
      <c r="A17" s="41" t="n"/>
      <c r="B17" s="41" t="n"/>
      <c r="C17" s="41" t="n"/>
      <c r="D17" s="41" t="n"/>
      <c r="E17" s="41" t="n"/>
      <c r="F17" s="41" t="n"/>
      <c r="G17" s="41" t="n"/>
      <c r="H17" s="41"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44"/>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row r="20">
      <c r="A20" t="inlineStr">
        <is>
          <t>2026-10-21</t>
        </is>
      </c>
      <c r="B20" t="inlineStr">
        <is>
          <t>Skydio</t>
        </is>
      </c>
      <c r="C20" t="inlineStr">
        <is>
          <t>Wireless Hardware Engineer Intern - Summer 2027</t>
        </is>
      </c>
      <c r="D20" t="inlineStr">
        <is>
          <t>San Mateo, CA</t>
        </is>
      </c>
      <c r="E20" t="inlineStr">
        <is>
          <t>https://jobs.ashbyhq.com/skydio/1ac972b1-8094-4765-8869-63e1c4d50dea/application?embed=true</t>
        </is>
      </c>
      <c r="F20" t="inlineStr">
        <is>
          <t>SUBMITTED</t>
        </is>
      </c>
      <c r="G20" t="inlineStr">
        <is>
          <t>asResumeFa26_i.pdf</t>
        </is>
      </c>
      <c r="H20" t="inlineStr">
        <is>
          <t>"Success — Thank you for submitting your application. We are thrilled you would consider joining us. The team will review your application, and we will be in touch soon if it seems like there could be a good fit." (Ashby, no confirmation number)</t>
        </is>
      </c>
      <c r="I20" t="inlineStr">
        <is>
          <t>No account required; start month May 2027 selected; gov-employment No; transcript not required.</t>
        </is>
      </c>
    </row>
    <row r="21">
      <c r="A21" t="inlineStr">
        <is>
          <t>2026-10-21</t>
        </is>
      </c>
      <c r="B21" t="inlineStr">
        <is>
          <t>onsemi</t>
        </is>
      </c>
      <c r="C21" t="inlineStr">
        <is>
          <t>Semiconductor AI Specialist Intern (Spring 2027, job 2506918)</t>
        </is>
      </c>
      <c r="D21" t="inlineStr">
        <is>
          <t>Gresham, OR</t>
        </is>
      </c>
      <c r="E21" t="inlineStr">
        <is>
          <t>https://hctz.fa.us2.oraclecloud.com/hcmUI/CandidateExperience/en/sites/CX_1001/job/2506918</t>
        </is>
      </c>
      <c r="F21" t="inlineStr">
        <is>
          <t>SUBMITTED</t>
        </is>
      </c>
      <c r="G21" t="inlineStr">
        <is>
          <t>asResumeFa26_i.pdf</t>
        </is>
      </c>
      <c r="H21" t="inlineStr">
        <is>
          <t>Candidate profile: ACTIVE JOB APPLICATIONS — Status: Under Consideration, Job ID 2506918, Applied on 10/21/2026</t>
        </is>
      </c>
      <c r="I21" t="inlineStr">
        <is>
          <t>How-heard Company Website -&gt; industry interest (DB). Email verification completed. No password account; profile under adamsheb414@gmail.com. Transcript not required.</t>
        </is>
      </c>
    </row>
    <row r="22">
      <c r="A22" t="inlineStr">
        <is>
          <t>2026-10-21</t>
        </is>
      </c>
      <c r="B22" t="inlineStr">
        <is>
          <t>Rockwell Automation</t>
        </is>
      </c>
      <c r="C22" t="inlineStr">
        <is>
          <t>Intern - Hardware Development Engineer (May-Aug 2027, req R26-6892)</t>
        </is>
      </c>
      <c r="D22" t="inlineStr">
        <is>
          <t>Mayfield Heights, OH</t>
        </is>
      </c>
      <c r="E22" t="inlineStr">
        <is>
          <t>https://rockwellautomation.wd1.myworkdayjobs.com/external_rockwell_automation/job/Mayfield-Heights-Ohio-United-States/Intern--Hardware-Development-Engineer--May---Aug-2027-_R26-6892-1</t>
        </is>
      </c>
      <c r="F22" t="inlineStr">
        <is>
          <t>SUBMITTED</t>
        </is>
      </c>
      <c r="G22" t="inlineStr">
        <is>
          <t>asResumeFa26_i.pdf</t>
        </is>
      </c>
      <c r="H22" t="inlineStr">
        <is>
          <t>"Application Submitted — Thank you for applying to Rockwell Automation! ... We've received your application, and someone from our team will be in touch soon."</t>
        </is>
      </c>
      <c r="I22" t="inlineStr">
        <is>
          <t>Candidate Home: Active (1), Under Review, Date Submitted 10/21/2026. Workday account created (musebabashebani@gmail.com). Transcript not required.</t>
        </is>
      </c>
    </row>
    <row r="23">
      <c r="A23" t="inlineStr">
        <is>
          <t>2026-10-21</t>
        </is>
      </c>
      <c r="B23" t="inlineStr">
        <is>
          <t>Extreme Engineering Solutions (X-ES)</t>
        </is>
      </c>
      <c r="C23" t="inlineStr">
        <is>
          <t>Hardware Debug Engineer (req #HARDW001758, new-grad)</t>
        </is>
      </c>
      <c r="D23" t="inlineStr">
        <is>
          <t>Verona, WI</t>
        </is>
      </c>
      <c r="E23" t="inlineStr">
        <is>
          <t>https://www.xes-inc.com/about/careers/full-time-employment-opportunities/hardware-debug-engineer/</t>
        </is>
      </c>
      <c r="F23" t="inlineStr">
        <is>
          <t>SUBMITTED</t>
        </is>
      </c>
      <c r="G23" t="inlineStr">
        <is>
          <t>asResumeFa26_n.pdf</t>
        </is>
      </c>
      <c r="H23" t="inlineStr">
        <is>
          <t>"You applied for Hardware Debug Engineer — Thank you! Your application was submitted." Application ID 04ff826e-a0e2-4ef1-bf89-5cb22d7c0830</t>
        </is>
      </c>
      <c r="I23" t="inlineStr">
        <is>
          <t>UKG/UltiPro candidate account created (musebabashebani@gmail.com). All questions DB-covered. Transcript not required.</t>
        </is>
      </c>
    </row>
    <row r="24">
      <c r="A24" t="inlineStr">
        <is>
          <t>2026-10-21</t>
        </is>
      </c>
      <c r="B24" t="inlineStr">
        <is>
          <t>Extreme Engineering Solutions (X-ES)</t>
        </is>
      </c>
      <c r="C24" t="inlineStr">
        <is>
          <t>Test Engineering Co-Op (Summer/Fall 2027, May-Dec 2027)</t>
        </is>
      </c>
      <c r="D24" t="inlineStr">
        <is>
          <t>Verona, WI</t>
        </is>
      </c>
      <c r="E24" t="inlineStr">
        <is>
          <t>https://www.xes-inc.com/about/careers/student-co-op-opportunities/test-engineering-co-op/</t>
        </is>
      </c>
      <c r="F24" t="inlineStr">
        <is>
          <t>SUBMITTED</t>
        </is>
      </c>
      <c r="G24" t="inlineStr">
        <is>
          <t>asResumeFa26_i.pdf</t>
        </is>
      </c>
      <c r="H24" t="inlineStr">
        <is>
          <t>"You applied for Test Engineering Co-Op. Thank you! Your application was submitted." Application ID df307081-9a8d-415c-bb1f-858535c56ce7</t>
        </is>
      </c>
      <c r="I24" t="inlineStr">
        <is>
          <t>UKG/UltiPro candidate account created (musebabashebani@gmail.com). Term Summer/Fall 2027, start 05/14/2027. Transcript not required.</t>
        </is>
      </c>
    </row>
    <row r="25">
      <c r="A25" t="inlineStr">
        <is>
          <t>2026-10-21</t>
        </is>
      </c>
      <c r="B25" t="inlineStr">
        <is>
          <t>Johnson Health Tech</t>
        </is>
      </c>
      <c r="C25" t="inlineStr">
        <is>
          <t>Embedded Software Engineer-Innovation Team (new-grad, full-time)</t>
        </is>
      </c>
      <c r="D25" t="inlineStr">
        <is>
          <t>Cottage Grove, WI</t>
        </is>
      </c>
      <c r="E25" t="inlineStr">
        <is>
          <t>https://recruiting.paylocity.com/Recruiting/Jobs/Details/4176830</t>
        </is>
      </c>
      <c r="F25" t="inlineStr">
        <is>
          <t>SUBMITTED</t>
        </is>
      </c>
      <c r="G25" t="inlineStr">
        <is>
          <t>asResumeFa26_n.pdf</t>
        </is>
      </c>
      <c r="H25" t="inlineStr">
        <is>
          <t>"Your application has been received! Thank you for applying." (Paylocity, no confirmation number)</t>
        </is>
      </c>
      <c r="I25" t="inlineStr">
        <is>
          <t>Salary 58000 yearly. SMS consent Yes. No account required. Transcript not required. Cover letter skipped (optional).</t>
        </is>
      </c>
    </row>
    <row r="26">
      <c r="A26" s="43" t="inlineStr">
        <is>
          <t>2026-10-21</t>
        </is>
      </c>
      <c r="B26" s="43" t="inlineStr">
        <is>
          <t>Dell Technologies</t>
        </is>
      </c>
      <c r="C26" s="43" t="inlineStr">
        <is>
          <t>Hardware Engineer 1 Intern (job 298141)</t>
        </is>
      </c>
      <c r="D26" s="43" t="inlineStr">
        <is>
          <t>Austin, TX</t>
        </is>
      </c>
      <c r="E26" s="43" t="inlineStr">
        <is>
          <t>https://iawmqy.fa.ocs.oraclecloud.com/hcmUI/CandidateExperience/en/sites/careers/job/298141</t>
        </is>
      </c>
      <c r="F26" s="43" t="inlineStr">
        <is>
          <t>SUBMITTED</t>
        </is>
      </c>
      <c r="G26" s="43" t="inlineStr">
        <is>
          <t>asResumeFa26_i.pdf</t>
        </is>
      </c>
      <c r="H26" s="43" t="inlineStr">
        <is>
          <t>Confirmation: "Thank you for your job application." Status: Under Consideration, Applied on 10/21/2026 (Oracle job 298141)</t>
        </is>
      </c>
      <c r="I26" s="43" t="inlineStr">
        <is>
          <t>Identity-verification email code (10-min validity) expired twice while the user-approval card sat unapproved — no user present on detached run. Email entered, terms accepted; form not reached. RETRY when Adam can approve the code card.</t>
        </is>
      </c>
    </row>
    <row r="27">
      <c r="A27" s="43" t="inlineStr">
        <is>
          <t>2026-10-21</t>
        </is>
      </c>
      <c r="B27" s="43" t="inlineStr">
        <is>
          <t>Boston Scientific</t>
        </is>
      </c>
      <c r="C27" s="43" t="inlineStr">
        <is>
          <t>R&amp;D Electrical Hardware Engineer Intern (req 634771)</t>
        </is>
      </c>
      <c r="D27" s="43" t="inlineStr">
        <is>
          <t>Arden Hills, MN</t>
        </is>
      </c>
      <c r="E27" s="43" t="inlineStr">
        <is>
          <t>https://bostonscientific.eightfold.ai/careers/apply?pid=563602813563527</t>
        </is>
      </c>
      <c r="F27" s="43" t="inlineStr">
        <is>
          <t>SUBMITTED</t>
        </is>
      </c>
      <c r="G27" s="43" t="inlineStr">
        <is>
          <t>asResumeFa26_i.pdf</t>
        </is>
      </c>
      <c r="H27" s="43" t="inlineStr">
        <is>
          <t>Confirmation: "Thank you for your application, Adam!" (Eightfold req 634771; confirmation email 10:31 AM CT)</t>
        </is>
      </c>
      <c r="I27" s="43" t="inlineStr">
        <is>
          <t>2 novel questions escalated to Adam: (1) reliable transportation to Arden Hills office? (2) willing/able to meet safety-sensitive drug-test requirement? Resolved: hands-on electronics Yes, OIG exclusion No, ZIP 53716. No account required; no transcript field.</t>
        </is>
      </c>
    </row>
    <row r="28">
      <c r="A28" s="43" t="inlineStr">
        <is>
          <t>2026-10-21</t>
        </is>
      </c>
      <c r="B28" s="43" t="inlineStr">
        <is>
          <t>Leidos</t>
        </is>
      </c>
      <c r="C28" s="43" t="inlineStr">
        <is>
          <t>Electrical Hardware Design Engineer Intern (R-00193394)</t>
        </is>
      </c>
      <c r="D28" s="43" t="inlineStr">
        <is>
          <t>Huntsville, AL</t>
        </is>
      </c>
      <c r="E28" s="43" t="inlineStr">
        <is>
          <t>https://leidos.wd5.myworkdayjobs.com/External/job/Huntsville-AL/Electrical-Hardware-Design-Engineering-Intern_R-00193394</t>
        </is>
      </c>
      <c r="F28" s="43" t="inlineStr">
        <is>
          <t>SUBMITTED</t>
        </is>
      </c>
      <c r="G28" s="43" t="inlineStr">
        <is>
          <t>asResumeFa26_i.pdf</t>
        </is>
      </c>
      <c r="H28" s="43" t="inlineStr">
        <is>
          <t>Confirmation: "Application Submitted — Your application has been received." My Applications: Submitted, October 21, 2026 (Workday R-00193394; transcript also uploaded)</t>
        </is>
      </c>
      <c r="I28" s="43" t="inlineStr">
        <is>
          <t>2 novel questions escalated to Adam: Job Title at Badger Moving; Start date (MM/YYYY) at Badger Moving. Workday account created (musebabashebani@gmail.com); application saved in-progress.</t>
        </is>
      </c>
    </row>
    <row r="29">
      <c r="A29" s="43" t="inlineStr">
        <is>
          <t>2026-10-21</t>
        </is>
      </c>
      <c r="B29" s="43" t="inlineStr">
        <is>
          <t>Garmin</t>
        </is>
      </c>
      <c r="C29" s="43" t="inlineStr">
        <is>
          <t>FPGA Engineer Intern (Req 19836)</t>
        </is>
      </c>
      <c r="D29" s="43" t="inlineStr">
        <is>
          <t>Olathe, KS</t>
        </is>
      </c>
      <c r="E29" s="43" t="inlineStr">
        <is>
          <t>https://careers.garmin.com/jobs/19836?icims=1</t>
        </is>
      </c>
      <c r="F29" s="43" t="inlineStr">
        <is>
          <t>SUBMITTED</t>
        </is>
      </c>
      <c r="G29" s="43" t="inlineStr">
        <is>
          <t>asResumeFa26_i.pdf</t>
        </is>
      </c>
      <c r="H29" s="43" t="inlineStr">
        <is>
          <t>Confirmation: "Your application was submitted successfully. Thank you for applying." / "You are currently submitted to this job." (iCIMS Req 19836)</t>
        </is>
      </c>
      <c r="I29" s="43" t="inlineStr">
        <is>
          <t>iCIMS Step 1 blocked on Professional Experience block: City, Title, Start Date, Reason for Leaving, Country, State for Badger Moving (DB has employer + end 10/2025 only). ZIP resolved 53716. Burner email verified; resume attached; no login created yet.</t>
        </is>
      </c>
    </row>
    <row r="30">
      <c r="A30" t="inlineStr">
        <is>
          <t>2026-10-21</t>
        </is>
      </c>
      <c r="B30" t="inlineStr">
        <is>
          <t>Extreme Engineering Solutions (X-ES)</t>
        </is>
      </c>
      <c r="C30" t="inlineStr">
        <is>
          <t>Embedded Hardware Engineering Co-Op (req ASSOC001741, Summer/Fall 2027)</t>
        </is>
      </c>
      <c r="D30" t="inlineStr">
        <is>
          <t>Verona, WI</t>
        </is>
      </c>
      <c r="E30" t="inlineStr">
        <is>
          <t>https://www.xes-inc.com/about/careers/student-co-op-opportunities/embedded-hardware-engineering-co-op/</t>
        </is>
      </c>
      <c r="F30" t="inlineStr">
        <is>
          <t>PENDING</t>
        </is>
      </c>
      <c r="G30" t="inlineStr">
        <is>
          <t>asResumeFa26_i.pdf</t>
        </is>
      </c>
      <c r="I30" t="inlineStr">
        <is>
          <t>X-ES requires a Candidate Questionnaire PDF with the application; its questions (relevant coursework, 0-5 skill ratings, 0-2 team interest ratings) escalated to Adam. No account created, nothing submitted.</t>
        </is>
      </c>
    </row>
    <row r="31">
      <c r="A31" t="inlineStr">
        <is>
          <t>2026-10-21</t>
        </is>
      </c>
      <c r="B31" t="inlineStr">
        <is>
          <t>Extreme Engineering Solutions (X-ES)</t>
        </is>
      </c>
      <c r="C31" t="inlineStr">
        <is>
          <t>Embedded Software Engineering Co-Op (req ASSOC001742, Summer/Fall 2027)</t>
        </is>
      </c>
      <c r="D31" t="inlineStr">
        <is>
          <t>Verona, WI</t>
        </is>
      </c>
      <c r="E31" t="inlineStr">
        <is>
          <t>https://www.xes-inc.com/about/careers/student-co-op-opportunities/embedded-software-engineering-co-op/</t>
        </is>
      </c>
      <c r="F31" t="inlineStr">
        <is>
          <t>BLOCKED</t>
        </is>
      </c>
      <c r="G31" t="inlineStr">
        <is>
          <t>asResumeFa26_i.pdf</t>
        </is>
      </c>
      <c r="I31" t="inlineStr">
        <is>
          <t>UKG/UltiPro portal requires sign-in; account musebabashebani@gmail.com exists (created by earlier X-ES application) but no saved login in this window and password is never stored; password reset not authorized on detached run. Likely also needs candidate questionnaire.</t>
        </is>
      </c>
    </row>
    <row r="32">
      <c r="A32" t="inlineStr">
        <is>
          <t>2026-10-21</t>
        </is>
      </c>
      <c r="B32" t="inlineStr">
        <is>
          <t>Nokia</t>
        </is>
      </c>
      <c r="C32" t="inlineStr">
        <is>
          <t>Hardware Development Co-Op (Job 40268)</t>
        </is>
      </c>
      <c r="D32" t="inlineStr">
        <is>
          <t>Murray Hill, NJ (live posting, not Remote US)</t>
        </is>
      </c>
      <c r="E32" t="inlineStr">
        <is>
          <t>https://fa-evmr-saasfaprod1.fa.ocs.oraclecloud.com/hcmUI/CandidateExperience/en/sites/CX_1/job/40268</t>
        </is>
      </c>
      <c r="F32" t="inlineStr">
        <is>
          <t>SKIPPED</t>
        </is>
      </c>
      <c r="I32" t="inlineStr">
        <is>
          <t>Co-op term Jan–Aug 2027 starts before approved earliest start 05/14/2027 (approved terms Summer/Fall only). Novel questions escalated: part-time work, flexible schedule, how-heard fixed options.</t>
        </is>
      </c>
    </row>
    <row r="33">
      <c r="A33" t="inlineStr">
        <is>
          <t>2026-10-21</t>
        </is>
      </c>
      <c r="B33" t="inlineStr">
        <is>
          <t>Sub-Zero Group</t>
        </is>
      </c>
      <c r="C33" t="inlineStr">
        <is>
          <t>2027 Engineering Co-op (req 2026E007282)</t>
        </is>
      </c>
      <c r="D33" t="inlineStr">
        <is>
          <t>Madison, WI</t>
        </is>
      </c>
      <c r="E33" t="inlineStr">
        <is>
          <t>https://recruiting2.ultipro.com/SUB1000SUBZ/JobBoard/ffaa667e-61b4-4b38-b427-2cb6982a41a3/OpportunityDetail?opportunityId=7c3b1a75-6342-4c54-b0b9-dad278ec2df9</t>
        </is>
      </c>
      <c r="F33" t="inlineStr">
        <is>
          <t>SKIPPED</t>
        </is>
      </c>
      <c r="I33" t="inlineStr">
        <is>
          <t>Posting fixes co-op to Spring term Jan–Aug 2027, before approved earliest start 05/14/2027. No Summer/Fall term offered.</t>
        </is>
      </c>
    </row>
    <row r="34">
      <c r="A34" t="inlineStr">
        <is>
          <t>2026-10-21</t>
        </is>
      </c>
      <c r="B34" t="inlineStr">
        <is>
          <t>Microsoft</t>
        </is>
      </c>
      <c r="C34" t="inlineStr">
        <is>
          <t>Hardware Engineering Internship (6-Month Program, job 200057051)</t>
        </is>
      </c>
      <c r="D34" t="inlineStr">
        <is>
          <t>Redmond, WA</t>
        </is>
      </c>
      <c r="E34" t="inlineStr">
        <is>
          <t>https://apply.careers.microsoft.com/careers/job/1970393557002608</t>
        </is>
      </c>
      <c r="F34" t="inlineStr">
        <is>
          <t>DEAD</t>
        </is>
      </c>
      <c r="I34" t="inlineStr">
        <is>
          <t>Page shows "No longer accepting applications" banner; no Apply button. Role closed.</t>
        </is>
      </c>
    </row>
    <row r="35">
      <c r="A35" t="inlineStr">
        <is>
          <t>2026-10-21</t>
        </is>
      </c>
      <c r="B35" t="inlineStr">
        <is>
          <t>Rockwell Automation</t>
        </is>
      </c>
      <c r="C35" t="inlineStr">
        <is>
          <t>Intern - Embedded Controls Engineering (R26-5043-2)</t>
        </is>
      </c>
      <c r="D35" t="inlineStr">
        <is>
          <t>Orlando, FL</t>
        </is>
      </c>
      <c r="E35" t="inlineStr">
        <is>
          <t>https://rockwellautomation.wd1.myworkdayjobs.com/external_rockwell_automation/job/Orlando-Florida-United-States/Intern---Embedded-Controls-Engineering_R26-5043-2</t>
        </is>
      </c>
      <c r="F35" t="inlineStr">
        <is>
          <t>DEAD</t>
        </is>
      </c>
      <c r="I35" t="inlineStr">
        <is>
          <t>Workday returns "page doesn't exist"; title/req searches found no equivalent posting. Role closed/filled.</t>
        </is>
      </c>
    </row>
    <row r="36">
      <c r="A36" t="inlineStr">
        <is>
          <t>2026-10-21</t>
        </is>
      </c>
      <c r="B36" t="inlineStr">
        <is>
          <t>Amazon.com Services LLC</t>
        </is>
      </c>
      <c r="C36" t="inlineStr">
        <is>
          <t>Hardware Development Engineer Intern (Winter 2027, job 10584121)</t>
        </is>
      </c>
      <c r="D36" t="inlineStr">
        <is>
          <t>Remote (US)</t>
        </is>
      </c>
      <c r="E36" t="inlineStr">
        <is>
          <t>https://www.amazon.jobs/en/jobs/10584121/hardware-development-engineer-intern-winter-2027</t>
        </is>
      </c>
      <c r="F36" t="inlineStr">
        <is>
          <t>SKIPPED</t>
        </is>
      </c>
      <c r="I36" t="inlineStr">
        <is>
          <t>Posting is Winter 2027 term; approved terms are Summer/Fall only (earliest start 05/14/2027).</t>
        </is>
      </c>
    </row>
    <row r="37">
      <c r="A37" t="inlineStr">
        <is>
          <t>2026-10-21</t>
        </is>
      </c>
      <c r="B37" t="inlineStr">
        <is>
          <t>Meta</t>
        </is>
      </c>
      <c r="C37" t="inlineStr">
        <is>
          <t>ASIC Engineer Intern - Design Verification - Silicon Engineering</t>
        </is>
      </c>
      <c r="D37" t="inlineStr">
        <is>
          <t>Sunnyvale, CA</t>
        </is>
      </c>
      <c r="E37" t="inlineStr">
        <is>
          <t>https://www.metacareers.com/jobs/1079763448023260</t>
        </is>
      </c>
      <c r="F37" t="inlineStr">
        <is>
          <t>SKIPPED</t>
        </is>
      </c>
      <c r="I37" t="inlineStr">
        <is>
          <t>Duplicate — already submitted 2026-10-19 (same job ID). Not re-applied.</t>
        </is>
      </c>
    </row>
    <row r="38">
      <c r="A38" t="inlineStr">
        <is>
          <t>2026-10-21</t>
        </is>
      </c>
      <c r="B38" t="inlineStr">
        <is>
          <t>Sound Devices</t>
        </is>
      </c>
      <c r="C38" t="inlineStr">
        <is>
          <t>Embedded Software Engineer (new-grad)</t>
        </is>
      </c>
      <c r="D38" t="inlineStr">
        <is>
          <t>Madison, WI</t>
        </is>
      </c>
      <c r="E38" t="inlineStr">
        <is>
          <t>https://www.sounddevices.com/embedded-software-engineer-madison-wi/</t>
        </is>
      </c>
      <c r="F38" t="inlineStr">
        <is>
          <t>NO_OPENING</t>
        </is>
      </c>
      <c r="I38" t="inlineStr">
        <is>
          <t>Posting is contact-email only (careers@sounddevices.com) — no application form. Per loop rule, never email.</t>
        </is>
      </c>
    </row>
    <row r="39">
      <c r="A39" t="inlineStr">
        <is>
          <t>2026-10-21</t>
        </is>
      </c>
      <c r="B39" t="inlineStr">
        <is>
          <t>SixLine Semiconductor</t>
        </is>
      </c>
      <c r="C39" t="inlineStr">
        <is>
          <t>(no postings — contact form only)</t>
        </is>
      </c>
      <c r="D39" t="inlineStr">
        <is>
          <t>Middleton, WI</t>
        </is>
      </c>
      <c r="E39" t="inlineStr">
        <is>
          <t>https://www.sixlinesemi.com/contact</t>
        </is>
      </c>
      <c r="F39" t="inlineStr">
        <is>
          <t>NO_OPENING</t>
        </is>
      </c>
      <c r="I39" t="inlineStr">
        <is>
          <t>Careers page is a contact form only; Adam already submitted their Google form 7/31/26.</t>
        </is>
      </c>
    </row>
    <row r="40">
      <c r="A40" t="inlineStr">
        <is>
          <t>2026-10-21</t>
        </is>
      </c>
      <c r="B40" t="inlineStr">
        <is>
          <t>Extreme Engineering Solutions (X-ES)</t>
        </is>
      </c>
      <c r="C40" t="inlineStr">
        <is>
          <t>Hardware Test Engineer (new-grad)</t>
        </is>
      </c>
      <c r="D40" t="inlineStr">
        <is>
          <t>Verona, WI</t>
        </is>
      </c>
      <c r="E40" t="inlineStr">
        <is>
          <t>https://www.xes-inc.com/about/careers/full-time-employment-opportunities/hardware-test-engineer/</t>
        </is>
      </c>
      <c r="F40" t="inlineStr">
        <is>
          <t>SKIPPED</t>
        </is>
      </c>
      <c r="I40" t="inlineStr">
        <is>
          <t>Posting explicitly open to December 2026 graduates; Adam graduates Dec 2027.</t>
        </is>
      </c>
    </row>
    <row r="41">
      <c r="A41" t="inlineStr">
        <is>
          <t>2026-10-22</t>
        </is>
      </c>
      <c r="B41" t="inlineStr">
        <is>
          <t>Skydio</t>
        </is>
      </c>
      <c r="C41" t="inlineStr">
        <is>
          <t>Hardware Test and Reliability Intern (Summer 2027)</t>
        </is>
      </c>
      <c r="D41" t="inlineStr">
        <is>
          <t>San Mateo, CA</t>
        </is>
      </c>
      <c r="E41" t="inlineStr">
        <is>
          <t>https://jobs.ashbyhq.com/skydio/36d75e36-eeb2-4399-8887-37c4a5ff5800/application?embed=true</t>
        </is>
      </c>
      <c r="F41" t="inlineStr">
        <is>
          <t>SUBMITTED</t>
        </is>
      </c>
      <c r="G41" t="inlineStr">
        <is>
          <t>asResumeFa26_i.pdf</t>
        </is>
      </c>
      <c r="H41" t="inlineStr">
        <is>
          <t>Success banner, fields disabled (Ashby, no conf number)</t>
        </is>
      </c>
      <c r="I41" t="inlineStr">
        <is>
          <t>Cover letter generated but no upload slot on form (resume-only); no essay field</t>
        </is>
      </c>
    </row>
    <row r="42">
      <c r="A42" t="inlineStr">
        <is>
          <t>2026-10-22</t>
        </is>
      </c>
      <c r="B42" t="inlineStr">
        <is>
          <t>Astera Labs</t>
        </is>
      </c>
      <c r="C42" t="inlineStr">
        <is>
          <t>Applied AI Engineer Intern, Silicon Engineering (Summer 2027)</t>
        </is>
      </c>
      <c r="D42" t="inlineStr">
        <is>
          <t>San Jose, CA</t>
        </is>
      </c>
      <c r="E42" t="inlineStr">
        <is>
          <t>https://job-boards.greenhouse.io/asteraearlycareer2027/jobs/4727602005</t>
        </is>
      </c>
      <c r="F42" t="inlineStr">
        <is>
          <t>SUBMITTED</t>
        </is>
      </c>
      <c r="G42" t="inlineStr">
        <is>
          <t>asResumeFa26_i.pdf</t>
        </is>
      </c>
      <c r="H42" t="inlineStr">
        <is>
          <t>Greenhouse confirmation page</t>
        </is>
      </c>
      <c r="I42" t="inlineStr">
        <is>
          <t>Cover letter generated but no upload slot on form; not attached</t>
        </is>
      </c>
    </row>
    <row r="43">
      <c r="A43" t="inlineStr">
        <is>
          <t>2026-10-22</t>
        </is>
      </c>
      <c r="B43" t="inlineStr">
        <is>
          <t>Astera Labs</t>
        </is>
      </c>
      <c r="C43" t="inlineStr">
        <is>
          <t>Hardware Electrical Validation Intern (Summer 2027)</t>
        </is>
      </c>
      <c r="D43" t="inlineStr">
        <is>
          <t>San Jose, CA</t>
        </is>
      </c>
      <c r="E43" t="inlineStr">
        <is>
          <t>https://job-boards.greenhouse.io/asteraearlycareer2027/jobs/4740145005</t>
        </is>
      </c>
      <c r="F43" t="inlineStr">
        <is>
          <t>SUBMITTED</t>
        </is>
      </c>
      <c r="G43" t="inlineStr">
        <is>
          <t>asResumeFa26_i.pdf</t>
        </is>
      </c>
      <c r="H43" t="inlineStr">
        <is>
          <t>Greenhouse confirmation page</t>
        </is>
      </c>
      <c r="I43" t="inlineStr">
        <is>
          <t>Cover letter generated but no upload slot on form; not attached; submitted per Adam approval</t>
        </is>
      </c>
    </row>
    <row r="44">
      <c r="A44" t="inlineStr">
        <is>
          <t>2026-10-22</t>
        </is>
      </c>
      <c r="B44" t="inlineStr">
        <is>
          <t>Milwaukee Tool</t>
        </is>
      </c>
      <c r="C44" t="inlineStr">
        <is>
          <t>Summer 2027: Electrical Engineering Intern</t>
        </is>
      </c>
      <c r="D44" t="inlineStr">
        <is>
          <t>Brookfield, WI</t>
        </is>
      </c>
      <c r="E44" t="inlineStr">
        <is>
          <t>https://tti.yello.co/external/requisitions/733mBTvtKX6qFiw_tC4GGA/apply</t>
        </is>
      </c>
      <c r="F44" t="inlineStr">
        <is>
          <t>SUBMITTED</t>
        </is>
      </c>
      <c r="G44" t="inlineStr">
        <is>
          <t>asResumeFa26_i.pdf</t>
        </is>
      </c>
      <c r="H44" t="inlineStr">
        <is>
          <t>Yello confirmation page</t>
        </is>
      </c>
      <c r="I44" t="inlineStr">
        <is>
          <t>Cover letter uploaded to Supporting Document slot; Major=Computer Engineering (DB variant), Area=Engineering- Electrical</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2026-10-22T16:26:38+00:00Z</dcterms:modified>
  <cp:lastModifiedBy>BurgShot Homie</cp:lastModifiedBy>
</cp:coreProperties>
</file>