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ams\Personal\JobHunt\"/>
    </mc:Choice>
  </mc:AlternateContent>
  <xr:revisionPtr revIDLastSave="0" documentId="13_ncr:1_{FE6BEEEC-C7C0-4AD5-8C26-F1AB278EB53F}" xr6:coauthVersionLast="47" xr6:coauthVersionMax="47" xr10:uidLastSave="{00000000-0000-0000-0000-000000000000}"/>
  <bookViews>
    <workbookView xWindow="-21255" yWindow="2940" windowWidth="16080" windowHeight="10890" firstSheet="1" activeTab="2" xr2:uid="{00000000-000D-0000-FFFF-FFFF00000000}"/>
  </bookViews>
  <sheets>
    <sheet name="Start_Here" sheetId="1" r:id="rId1"/>
    <sheet name="Clubs" sheetId="8" r:id="rId2"/>
    <sheet name="Research" sheetId="7" r:id="rId3"/>
    <sheet name="Companies" sheetId="2" r:id="rId4"/>
    <sheet name="Resources" sheetId="3" r:id="rId5"/>
    <sheet name="Outreach_Template" sheetId="4" r:id="rId6"/>
    <sheet name="Tracker_Blank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18" i="5"/>
  <c r="A18" i="5"/>
  <c r="E17" i="5"/>
  <c r="A17" i="5"/>
  <c r="E16" i="5"/>
  <c r="A16" i="5"/>
  <c r="E15" i="5"/>
  <c r="A15" i="5"/>
  <c r="E14" i="5"/>
  <c r="A14" i="5"/>
  <c r="E13" i="5"/>
  <c r="A13" i="5"/>
  <c r="E12" i="5"/>
  <c r="A12" i="5"/>
  <c r="E11" i="5"/>
  <c r="A11" i="5"/>
  <c r="E10" i="5"/>
  <c r="A10" i="5"/>
  <c r="E9" i="5"/>
  <c r="A9" i="5"/>
  <c r="E8" i="5"/>
  <c r="A8" i="5"/>
  <c r="E7" i="5"/>
  <c r="A7" i="5"/>
  <c r="E6" i="5"/>
  <c r="A6" i="5"/>
  <c r="E5" i="5"/>
  <c r="A5" i="5"/>
  <c r="E4" i="5"/>
  <c r="A4" i="5"/>
  <c r="E3" i="5"/>
  <c r="A3" i="5"/>
  <c r="P18" i="2"/>
  <c r="H18" i="2"/>
  <c r="P17" i="2"/>
  <c r="H17" i="2"/>
  <c r="P16" i="2"/>
  <c r="H16" i="2"/>
  <c r="P15" i="2"/>
  <c r="H15" i="2"/>
  <c r="P14" i="2"/>
  <c r="H14" i="2"/>
  <c r="P13" i="2"/>
  <c r="H13" i="2"/>
  <c r="P12" i="2"/>
  <c r="H12" i="2"/>
  <c r="P11" i="2"/>
  <c r="H11" i="2"/>
  <c r="P10" i="2"/>
  <c r="H10" i="2"/>
  <c r="P9" i="2"/>
  <c r="H9" i="2"/>
  <c r="P8" i="2"/>
  <c r="H8" i="2"/>
  <c r="P7" i="2"/>
  <c r="H7" i="2"/>
  <c r="P6" i="2"/>
  <c r="H6" i="2"/>
  <c r="P5" i="2"/>
  <c r="H5" i="2"/>
  <c r="P4" i="2"/>
  <c r="H4" i="2"/>
  <c r="P3" i="2"/>
  <c r="H3" i="2"/>
</calcChain>
</file>

<file path=xl/sharedStrings.xml><?xml version="1.0" encoding="utf-8"?>
<sst xmlns="http://schemas.openxmlformats.org/spreadsheetml/2006/main" count="394" uniqueCount="257">
  <si>
    <t>Madison + ~60-Mile Semiconductor / Digital Hardware Search</t>
  </si>
  <si>
    <t>Generated</t>
  </si>
  <si>
    <t>2026-03-30</t>
  </si>
  <si>
    <t>Goal</t>
  </si>
  <si>
    <t>Build a 50–60 mile hit list for digital design / RTL / FPGA / embedded-hardware outreach.</t>
  </si>
  <si>
    <t>Honest read</t>
  </si>
  <si>
    <t>Strict pure-play semiconductor names near Madison are still limited. The real opportunity set grows when you include FPGA/embedded, instrumentation, quantum, and advanced-energy hardware companies.</t>
  </si>
  <si>
    <t>Best nearby fit</t>
  </si>
  <si>
    <t>X-ES is still the clearest local FPGA target; i3, Sound Devices, Sub-Zero, and Johnson broaden the practical search.</t>
  </si>
  <si>
    <t>Best pure-play fit</t>
  </si>
  <si>
    <t>SixLine is still the clearest local pure-play semiconductor startup networking target.</t>
  </si>
  <si>
    <t>Search radius</t>
  </si>
  <si>
    <t>Add Janesville, Beloit, Reedsburg, Cottage Grove, Middleton, Verona, Sun Prairie, Windsor, and Fitchburg to your search radius.</t>
  </si>
  <si>
    <t>Suggested first 7 days</t>
  </si>
  <si>
    <t>What to emphasize in conversation</t>
  </si>
  <si>
    <t>1) Read the Companies sheet and sort by Priority Score.</t>
  </si>
  <si>
    <t>• RTL / SystemVerilog / Verilog coursework and projects</t>
  </si>
  <si>
    <t>2) Personalize a 5-sentence outreach note for the top 3 targets.</t>
  </si>
  <si>
    <t>• FPGA vs MCU vs ASIC understanding</t>
  </si>
  <si>
    <t>3) Apply to any visible student / co-op / hardware roles first.</t>
  </si>
  <si>
    <t>• Timing constraints, synthesis, verification, bring-up</t>
  </si>
  <si>
    <t>4) Send cold outreach to founders, recruiting, or engineering leads.</t>
  </si>
  <si>
    <t>• Interest in low-latency and real hardware systems</t>
  </si>
  <si>
    <t>5) Log every message in Tracker_Blank and follow up after 7 days.</t>
  </si>
  <si>
    <t>• Willingness to start with test / validation / electronics if that gets you in the room</t>
  </si>
  <si>
    <t>6) If Madison feels too thin, expand immediately to Middleton, Verona, and Chicago.</t>
  </si>
  <si>
    <t>Sheets included</t>
  </si>
  <si>
    <t>Companies</t>
  </si>
  <si>
    <t>Starter company list with fit scores, links, and next actions</t>
  </si>
  <si>
    <t>Resources</t>
  </si>
  <si>
    <t>Places to mine more local leads</t>
  </si>
  <si>
    <t>Outreach_Template</t>
  </si>
  <si>
    <t>Cold-email / LinkedIn script you can customize</t>
  </si>
  <si>
    <t>Tracker_Blank</t>
  </si>
  <si>
    <t>Use this every time you send a message</t>
  </si>
  <si>
    <t>Expanded list — semiconductor + digital hardware targets within ~60 miles</t>
  </si>
  <si>
    <t>Company</t>
  </si>
  <si>
    <t>City / Area</t>
  </si>
  <si>
    <t>Segment</t>
  </si>
  <si>
    <t>Why it belongs on your list</t>
  </si>
  <si>
    <t>Relevant signal for you</t>
  </si>
  <si>
    <t>Digital-design fit (1-5)</t>
  </si>
  <si>
    <t>Student access (1-5)</t>
  </si>
  <si>
    <t>Priority Score</t>
  </si>
  <si>
    <t>Website</t>
  </si>
  <si>
    <t>Careers / Contact</t>
  </si>
  <si>
    <t>Source 1</t>
  </si>
  <si>
    <t>Source 2</t>
  </si>
  <si>
    <t>First action</t>
  </si>
  <si>
    <t>Outreach status</t>
  </si>
  <si>
    <t>Date contacted</t>
  </si>
  <si>
    <t>Follow-up due</t>
  </si>
  <si>
    <t>Extreme Engineering Solutions (X-ES)</t>
  </si>
  <si>
    <t>Verona</t>
  </si>
  <si>
    <t>FPGA / embedded computing hardware</t>
  </si>
  <si>
    <t>Local embedded-computing company with FPGA modules, I/O modules, boards, systems, and on-site manufacturing.</t>
  </si>
  <si>
    <t>Strongest nearby fit if you want FPGA / board-level digital design; explicit student opportunities.</t>
  </si>
  <si>
    <t>https://www.xes-inc.com/</t>
  </si>
  <si>
    <t>https://www.xes-inc.com/about/careers/</t>
  </si>
  <si>
    <t>https://www.xes-inc.com/about/</t>
  </si>
  <si>
    <t>https://www.xes-inc.com/about/careers/student-co-op-opportunities/</t>
  </si>
  <si>
    <t>Apply to any student role, then send a short note asking about hardware / FPGA paths.</t>
  </si>
  <si>
    <t>Not contacted</t>
  </si>
  <si>
    <t>i3 Product Development</t>
  </si>
  <si>
    <t>Sun Prairie</t>
  </si>
  <si>
    <t>Product development / embedded / electrical engineering</t>
  </si>
  <si>
    <t>Nearby engineering firm with in-house electrical engineering, embedded software, prototyping, and internships.</t>
  </si>
  <si>
    <t>Great practical fit if you want to talk to real product-development engineers and get hardware exposure fast.</t>
  </si>
  <si>
    <t>https://i3pd.com/</t>
  </si>
  <si>
    <t>https://i3pd.com/jobs/</t>
  </si>
  <si>
    <t>https://i3pd.com/contact-us/</t>
  </si>
  <si>
    <t>https://i3pd.com/team/</t>
  </si>
  <si>
    <t>Apply to internships or entry paths and mention your interest in embedded / digital hardware projects.</t>
  </si>
  <si>
    <t>SixLine Semiconductor</t>
  </si>
  <si>
    <t>Middleton</t>
  </si>
  <si>
    <t>Pure-play semiconductor startup</t>
  </si>
  <si>
    <t>Commercializing carbon-nanotube semiconductor technology for next-generation devices.</t>
  </si>
  <si>
    <t>Best local pure-play semiconductor networking target; founder/startup conversations could be valuable even if openings are sparse.</t>
  </si>
  <si>
    <t>https://www.sixlinesemi.com/</t>
  </si>
  <si>
    <t>https://www.sixlinesemi.com/contact</t>
  </si>
  <si>
    <t>https://wedc.org/innovate-in-wisconsin/innovation-investment-portfolio/sixline-semiconductor-inc/</t>
  </si>
  <si>
    <t>Send founder/team outreach asking for a 15-minute learning conversation about local semiconductor paths.</t>
  </si>
  <si>
    <t>Sound Devices</t>
  </si>
  <si>
    <t>Madison / Reedsburg</t>
  </si>
  <si>
    <t>Professional audio / embedded hardware</t>
  </si>
  <si>
    <t>Designs, assembles, and supports pro-audio and wireless products in Wisconsin; Madison office has embedded roles.</t>
  </si>
  <si>
    <t>Very solid embedded-hardware target with real products, local engineering, and a history of internships.</t>
  </si>
  <si>
    <t>https://www.sounddevices.com/</t>
  </si>
  <si>
    <t>https://www.sounddevices.com/company/careers/</t>
  </si>
  <si>
    <t>https://www.sounddevices.com/embedded-software-engineer-madison-wi/</t>
  </si>
  <si>
    <t>Reach out to engineering recruiting or apply directly to embedded openings; mention hardware + real-time interest.</t>
  </si>
  <si>
    <t>Sub-Zero Group</t>
  </si>
  <si>
    <t>Fitchburg / Madison</t>
  </si>
  <si>
    <t>Product engineering / controls / appliance electronics</t>
  </si>
  <si>
    <t>Large local product company with manufacturing and engineering in Fitchburg plus student programs.</t>
  </si>
  <si>
    <t>Not semiconductor, but a real Wisconsin hardware employer with product-development and controls/electronics paths.</t>
  </si>
  <si>
    <t>https://www.subzero-wolf.com/</t>
  </si>
  <si>
    <t>https://www.subzero-wolf.com/about/careers</t>
  </si>
  <si>
    <t>https://www.subzero-wolf.com/about/careers/locations</t>
  </si>
  <si>
    <t>https://www.subzero-wolf.com/about/careers/co-op-program</t>
  </si>
  <si>
    <t>Watch student and engineering openings; tailor outreach to product development, controls, or electronics.</t>
  </si>
  <si>
    <t>Johnson Health Tech</t>
  </si>
  <si>
    <t>Cottage Grove</t>
  </si>
  <si>
    <t>Connected products / electronics / embedded systems</t>
  </si>
  <si>
    <t>Cottage Grove engineering team has posted senior electrical and embedded software roles for connected products.</t>
  </si>
  <si>
    <t>Good nearby product-electronics company if you want analog/digital hardware, system connectivity, and firmware-adjacent work.</t>
  </si>
  <si>
    <t>https://www.johnsonhealthtech.com/</t>
  </si>
  <si>
    <t>https://www.johnsonhealthtech.com/us/eng/careers</t>
  </si>
  <si>
    <t>https://recruiting.paylocity.com/recruiting/jobs/List/2034/Johnson-Heath-Tech-Companies</t>
  </si>
  <si>
    <t>Check the Cottage Grove postings and send a concise note about hardware / embedded interest.</t>
  </si>
  <si>
    <t>Promega</t>
  </si>
  <si>
    <t>Madison</t>
  </si>
  <si>
    <t>Scientific instruments / benchtop systems</t>
  </si>
  <si>
    <t>Madison-headquartered manufacturer that develops reagents and instruments, with engineering and instrument-service roles.</t>
  </si>
  <si>
    <t>Useful if you want to enter hardware through scientific instruments, system integration, service, or manufacturing engineering.</t>
  </si>
  <si>
    <t>https://www.promega.com/</t>
  </si>
  <si>
    <t>https://www.promega.com/aboutus/careers/</t>
  </si>
  <si>
    <t>https://www.promega.com/aboutus/company-information/</t>
  </si>
  <si>
    <t>https://www.promega.com/aboutus/press-releases/global/2022/may-17-2022-forensic-laboratories-flexibility-with-spectrum-ce/</t>
  </si>
  <si>
    <t>Look for instrument, service, hardware, or manufacturing-engineering roles on the Madison campus.</t>
  </si>
  <si>
    <t>Springs Window Fashions</t>
  </si>
  <si>
    <t>Connected products / firmware / controls</t>
  </si>
  <si>
    <t>Middleton team is hiring firmware and electrical engineers for motorized and connected products, plus internships.</t>
  </si>
  <si>
    <t>Not semiconductor, but a very real nearby embedded-products employer.</t>
  </si>
  <si>
    <t>https://springswindowfashions.com/</t>
  </si>
  <si>
    <t>https://springswindowfashions.com/careers/career-opportunities/</t>
  </si>
  <si>
    <t>https://careers-springswindowfashions.icims.com/jobs/12354/firmware-engineer/job</t>
  </si>
  <si>
    <t>Track firmware/electrical roles and mention interest in controls, connected devices, and embedded systems.</t>
  </si>
  <si>
    <t>Qolab</t>
  </si>
  <si>
    <t>Quantum hardware / semiconductor-compatible fabrication</t>
  </si>
  <si>
    <t>Madison lab building superconducting quantum hardware with advanced semiconductor-compatible fabrication.</t>
  </si>
  <si>
    <t>Good advanced-hardware startup target for conversations about control, packaging, readout, and scalable hardware systems.</t>
  </si>
  <si>
    <t>https://qolab.ai/</t>
  </si>
  <si>
    <t>https://qolab.ai/contact-us/</t>
  </si>
  <si>
    <t>Send a concise hardware-interest note and watch for lab or hardware-engineering openings.</t>
  </si>
  <si>
    <t>CAMECA Instruments (Atom Probe Technology Center)</t>
  </si>
  <si>
    <t>Semiconductor metrology / instrumentation</t>
  </si>
  <si>
    <t>Madison-area site develops and manufactures LEAP atom probe tools used in materials and semiconductor work.</t>
  </si>
  <si>
    <t>Relevant if you can enter through electronics, test, instrumentation, or manufacturing-engineering-adjacent work.</t>
  </si>
  <si>
    <t>https://www.cameca.com/</t>
  </si>
  <si>
    <t>https://www.cameca.com/company/careers</t>
  </si>
  <si>
    <t>https://www.cameca.com/contact/production-sites/atom-probe-technology-center</t>
  </si>
  <si>
    <t>Check Madison-site openings and look for electronics, instrument, test, or manufacturing roles.</t>
  </si>
  <si>
    <t>Infleqtion</t>
  </si>
  <si>
    <t>Quantum hardware / sensing</t>
  </si>
  <si>
    <t>Quantum technology company with a Madison office spanning hardware, sensing, and software.</t>
  </si>
  <si>
    <t>Less direct than X-ES, but still worth tracking for hardware / experimental systems opportunities.</t>
  </si>
  <si>
    <t>https://infleqtion.com/</t>
  </si>
  <si>
    <t>https://infleqtion.com/careers/</t>
  </si>
  <si>
    <t>https://infleqtion.com/infleqtion-and-university-of-colorado-boulder-collaborate/</t>
  </si>
  <si>
    <t>Track openings and send a short Madison-office note if you see a hardware-adjacent fit.</t>
  </si>
  <si>
    <t>Thermo Fisher Scientific</t>
  </si>
  <si>
    <t>Analytical instrumentation / service / software</t>
  </si>
  <si>
    <t>Madison remains a real Thermo Fisher instrument site, with local service/support and instrument/software activity.</t>
  </si>
  <si>
    <t>Not your purest digital-design fit, but worth watching for hardware-support, instrumentation, automation, or local software roles.</t>
  </si>
  <si>
    <t>https://www.thermofisher.com/us/en/home.html</t>
  </si>
  <si>
    <t>https://jobs.thermofisher.com/</t>
  </si>
  <si>
    <t>https://www.thermofisher.com/us/en/home/technical-resources/manufacturing-site-iso-certifications.html</t>
  </si>
  <si>
    <t>https://jobs.thermofisher.com/global/en/job/R-01346167/Software-Development-Manager</t>
  </si>
  <si>
    <t>Search Madison openings with keywords like instrument, hardware, automation, validation, software, and service.</t>
  </si>
  <si>
    <t>SHINE Technologies</t>
  </si>
  <si>
    <t>Janesville / Fitchburg</t>
  </si>
  <si>
    <t>Fusion systems / advanced hardware</t>
  </si>
  <si>
    <t>Builds fusion-related systems in southern Wisconsin and is hiring in Janesville and Fitchburg.</t>
  </si>
  <si>
    <t>Worth including if you want hard-tech exposure, engineering rigor, and local advanced-energy hardware contacts.</t>
  </si>
  <si>
    <t>https://www.shinefusion.com/</t>
  </si>
  <si>
    <t>https://www.shinefusion.com/about/careers</t>
  </si>
  <si>
    <t>https://www.shinefusion.com/videos/shine-technologies-systems-and-manufacturing-facility-in-fitchburg-wisconsin</t>
  </si>
  <si>
    <t>Track systems, manufacturing, controls, or hardware roles and send a targeted note about advanced hardware interest.</t>
  </si>
  <si>
    <t>NorthStar Medical Radioisotopes</t>
  </si>
  <si>
    <t>Beloit</t>
  </si>
  <si>
    <t>Accelerator-based systems / automation / advanced hardware</t>
  </si>
  <si>
    <t>Beloit campus uses electron beam accelerators and is hiring engineering roles including automation.</t>
  </si>
  <si>
    <t>Interesting if you want complex systems, controls, automation, or accelerator-adjacent hardware exposure.</t>
  </si>
  <si>
    <t>https://www.northstarnm.com/</t>
  </si>
  <si>
    <t>https://www.northstarnm.com/careers/</t>
  </si>
  <si>
    <t>https://www.northstarnm.com/company/facilities/</t>
  </si>
  <si>
    <t>Look for automation, controls, electrical, or systems roles and send a short learning-oriented outreach note.</t>
  </si>
  <si>
    <t>ABS Global / Genus</t>
  </si>
  <si>
    <t>Windsor / DeForest</t>
  </si>
  <si>
    <t>Biosystems / embedded hardware</t>
  </si>
  <si>
    <t>Nearby biosystems team has recently posted embedded software work in Windsor, giving you another local embedded-systems angle.</t>
  </si>
  <si>
    <t>Not semiconductor, but worth one shot because it is close and has shown embedded hiring.</t>
  </si>
  <si>
    <t>https://www.absglobal.com/abs-careers/</t>
  </si>
  <si>
    <t>https://www.ziprecruiter.com/c/Genus-PLC/Job/Sr-Software-Engineer%2C-Embedded/-in-Windsor%2CWI?jid=7424564879546158</t>
  </si>
  <si>
    <t>Search Windsor / DeForest engineering postings and send one concise embedded-systems outreach note.</t>
  </si>
  <si>
    <t>Type One Energy</t>
  </si>
  <si>
    <t>Fusion hardware / controls / advanced energy</t>
  </si>
  <si>
    <t>Madison office in a venture-backed fusion company with local presence and technical roles.</t>
  </si>
  <si>
    <t>Longer-shot for digital design, but still worth keeping on the board for serious hard-tech networking.</t>
  </si>
  <si>
    <t>https://typeoneenergy.com/home/</t>
  </si>
  <si>
    <t>https://typeoneenergy.com/careers/</t>
  </si>
  <si>
    <t>https://typeoneenergy.teamtailor.com/jobs</t>
  </si>
  <si>
    <t>Track Madison openings and keep this as a network target rather than a primary first outreach wave.</t>
  </si>
  <si>
    <t>Resource</t>
  </si>
  <si>
    <t>Why it matters</t>
  </si>
  <si>
    <t>URL</t>
  </si>
  <si>
    <t>Wisconsin CHIPS</t>
  </si>
  <si>
    <t>Statewide semiconductor hub; useful for finding ecosystem players, labs, and events.</t>
  </si>
  <si>
    <t>https://chips.wisc.edu/</t>
  </si>
  <si>
    <t>WEDC Innovation Investment Portfolio</t>
  </si>
  <si>
    <t>Good place to scan Wisconsin startup names and funding-stage signals.</t>
  </si>
  <si>
    <t>https://wedc.org/innovate-in-wisconsin/innovation-investment-portfolio/</t>
  </si>
  <si>
    <t>WARF Ventures</t>
  </si>
  <si>
    <t>UW-Madison commercialization ecosystem; useful for spinout discovery.</t>
  </si>
  <si>
    <t>https://www.warf.org/warf-ventures/</t>
  </si>
  <si>
    <t>UW semiconductors news / facilities</t>
  </si>
  <si>
    <t>Shows what centers, faculty, and spinouts are active around Madison.</t>
  </si>
  <si>
    <t>https://engineering.wisc.edu/news/new-facility-establishes-uw-madison-as-a-hub-for-next-generation-semiconductors/</t>
  </si>
  <si>
    <t>SEMICON ecosystem map</t>
  </si>
  <si>
    <t>National semiconductor ecosystem map if you decide to expand beyond Madison.</t>
  </si>
  <si>
    <t>https://www.semiconductors.org/ecosystem/</t>
  </si>
  <si>
    <t>Cold outreach template — customize before sending</t>
  </si>
  <si>
    <t>Subject line options</t>
  </si>
  <si>
    <t>UW–Madison digital design student interested in [Company]
Quick question from a UW–Madison FPGA / RTL student
Aspiring digital design engineer interested in your hardware team</t>
  </si>
  <si>
    <t>5-sentence email / LinkedIn note</t>
  </si>
  <si>
    <t>Hi [Name],
I’m a UW–Madison computer engineering student focused on digital design, RTL, FPGA, and hardware systems. I’ve been building experience through coursework and projects in SystemVerilog / Verilog, embedded systems, and verification, and I’m reaching out because I’m very interested in the kind of hardware work [Company] does.
What especially caught my eye was [specific company detail]. I’d love to ask a few questions about how someone early in their career could break into this kind of work, and whether there are any student, co-op, test, validation, or junior hardware paths I should keep an eye on.
Thank you,
[Your Name]</t>
  </si>
  <si>
    <t>Customization checklist</t>
  </si>
  <si>
    <t>1) Mention one company-specific detail.
2) Mention one real project or class.
3) Keep it under ~170 words.
4) Ask for advice or a short conversation, not a job demand.</t>
  </si>
  <si>
    <t>Outreach tracker</t>
  </si>
  <si>
    <t>Contact / role</t>
  </si>
  <si>
    <t>Where found</t>
  </si>
  <si>
    <t>Date sent</t>
  </si>
  <si>
    <t>Response</t>
  </si>
  <si>
    <t>Next step</t>
  </si>
  <si>
    <t>Notes</t>
  </si>
  <si>
    <t>No reply yet</t>
  </si>
  <si>
    <t/>
  </si>
  <si>
    <t>Lab</t>
  </si>
  <si>
    <t>Date Sent</t>
  </si>
  <si>
    <t>UW-Mad Clubs:</t>
  </si>
  <si>
    <t>sent a drop box message on 06/01/26, will call in the future.</t>
  </si>
  <si>
    <t>broad</t>
  </si>
  <si>
    <t>sent a broad application on 06/01/26, purely explorative</t>
  </si>
  <si>
    <t>sent a google form in on 06/01/26, explorative.</t>
  </si>
  <si>
    <t>Milwaukee Tool</t>
  </si>
  <si>
    <t>Professor</t>
  </si>
  <si>
    <t>Research Area</t>
  </si>
  <si>
    <t>Parmesh Ramanathan</t>
  </si>
  <si>
    <t>General</t>
  </si>
  <si>
    <t>N/A</t>
  </si>
  <si>
    <t>wait for reply</t>
  </si>
  <si>
    <t>Daniel Van Der Weide</t>
  </si>
  <si>
    <t>5/2/2026, 06/01/2026</t>
  </si>
  <si>
    <t>Tsung Wei-Huang</t>
  </si>
  <si>
    <t>Julie Hsiao</t>
  </si>
  <si>
    <t>asked for general info, not expecting a reply. Ok dope, instant response. Following up is of chief importance, DON’T BE A PUSSY. Schedule the meeting</t>
  </si>
  <si>
    <t>General info, I imagine I'll get a reply.</t>
  </si>
  <si>
    <t>n/A</t>
  </si>
  <si>
    <t>Georgios Tzimpragoz</t>
  </si>
  <si>
    <t>My literaly advisor, mf better reply on the third email</t>
  </si>
  <si>
    <t>CompArch guy, idek if he does research. Whatever.</t>
  </si>
  <si>
    <t>Joshua San Miguel</t>
  </si>
  <si>
    <t>W guy, just lookin for info.</t>
  </si>
  <si>
    <t>Azadeh Davoodi</t>
  </si>
  <si>
    <t>Undergraduate studies chair, js lookin for info atm</t>
  </si>
  <si>
    <t>General info, no reply followed up. W, cc follow up from Rob Marshland, should meet up with him for coffee at some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</si>
</sst>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8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2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8" fillId="0" borderId="0" xfId="0" applyFont="1"/>
    <xf numFmtId="0" fontId="9" fillId="2" borderId="0" xfId="0" applyFont="1" applyFill="1"/>
    <xf numFmtId="0" fontId="10" fillId="0" borderId="1" xfId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4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801E5D-1A36-407C-A678-09622F24BE0D}" name="TrackerTable5" displayName="TrackerTable5" ref="A2:H20">
  <autoFilter ref="A2:H20" xr:uid="{00000000-0009-0000-0100-000003000000}"/>
  <tableColumns count="8">
    <tableColumn id="1" xr3:uid="{3062E604-AF09-4460-B9B5-FFF31B64BC0A}" name="Professor"/>
    <tableColumn id="2" xr3:uid="{94FB74BB-74BE-4DA2-B345-50A91BD760E1}" name="Lab"/>
    <tableColumn id="3" xr3:uid="{FF5D5B8F-49A1-470B-86D0-9383DF9494C8}" name="Research Area"/>
    <tableColumn id="4" xr3:uid="{4D9BD644-8181-4EBD-80C7-5EEB1796226A}" name="Date Sent"/>
    <tableColumn id="5" xr3:uid="{B3D58E10-B7AD-4D17-A187-4A1E28AD3E0B}" name="Follow-up due"/>
    <tableColumn id="6" xr3:uid="{0BF5B239-5329-4FDF-AF57-A95A5B9B063F}" name="Response"/>
    <tableColumn id="7" xr3:uid="{9C726757-14B2-4DF9-9533-050FD2294FE6}" name="Next step"/>
    <tableColumn id="8" xr3:uid="{D5819BBB-4CD9-4871-B039-C0FE203AFA34}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niesTable" displayName="CompaniesTable" ref="A2:P18">
  <autoFilter ref="A2:P18" xr:uid="{00000000-0009-0000-0100-000001000000}"/>
  <tableColumns count="16">
    <tableColumn id="1" xr3:uid="{00000000-0010-0000-0000-000001000000}" name="Company"/>
    <tableColumn id="2" xr3:uid="{00000000-0010-0000-0000-000002000000}" name="City / Area"/>
    <tableColumn id="3" xr3:uid="{00000000-0010-0000-0000-000003000000}" name="Segment"/>
    <tableColumn id="4" xr3:uid="{00000000-0010-0000-0000-000004000000}" name="Why it belongs on your list"/>
    <tableColumn id="5" xr3:uid="{00000000-0010-0000-0000-000005000000}" name="Relevant signal for you"/>
    <tableColumn id="6" xr3:uid="{00000000-0010-0000-0000-000006000000}" name="Digital-design fit (1-5)"/>
    <tableColumn id="7" xr3:uid="{00000000-0010-0000-0000-000007000000}" name="Student access (1-5)"/>
    <tableColumn id="8" xr3:uid="{00000000-0010-0000-0000-000008000000}" name="Priority Score"/>
    <tableColumn id="9" xr3:uid="{00000000-0010-0000-0000-000009000000}" name="Website"/>
    <tableColumn id="10" xr3:uid="{00000000-0010-0000-0000-00000A000000}" name="Careers / Contact"/>
    <tableColumn id="11" xr3:uid="{00000000-0010-0000-0000-00000B000000}" name="Source 1"/>
    <tableColumn id="12" xr3:uid="{00000000-0010-0000-0000-00000C000000}" name="Source 2"/>
    <tableColumn id="13" xr3:uid="{00000000-0010-0000-0000-00000D000000}" name="First action"/>
    <tableColumn id="14" xr3:uid="{00000000-0010-0000-0000-00000E000000}" name="Outreach status"/>
    <tableColumn id="15" xr3:uid="{00000000-0010-0000-0000-00000F000000}" name="Date contacted"/>
    <tableColumn id="16" xr3:uid="{00000000-0010-0000-0000-000010000000}" name="Follow-up d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ourcesTable" displayName="ResourcesTable" ref="A2:C7">
  <autoFilter ref="A2:C7" xr:uid="{00000000-0009-0000-0100-000002000000}"/>
  <tableColumns count="3">
    <tableColumn id="1" xr3:uid="{00000000-0010-0000-0100-000001000000}" name="Resource"/>
    <tableColumn id="2" xr3:uid="{00000000-0010-0000-0100-000002000000}" name="Why it matters"/>
    <tableColumn id="3" xr3:uid="{00000000-0010-0000-0100-000003000000}" name="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kerTable" displayName="TrackerTable" ref="A2:H20">
  <autoFilter ref="A2:H20" xr:uid="{00000000-0009-0000-0100-000003000000}"/>
  <tableColumns count="8">
    <tableColumn id="1" xr3:uid="{00000000-0010-0000-0200-000001000000}" name="Company"/>
    <tableColumn id="2" xr3:uid="{00000000-0010-0000-0200-000002000000}" name="Contact / role"/>
    <tableColumn id="3" xr3:uid="{00000000-0010-0000-0200-000003000000}" name="Where found"/>
    <tableColumn id="4" xr3:uid="{00000000-0010-0000-0200-000004000000}" name="Date sent"/>
    <tableColumn id="5" xr3:uid="{00000000-0010-0000-0200-000005000000}" name="Follow-up due"/>
    <tableColumn id="6" xr3:uid="{00000000-0010-0000-0200-000006000000}" name="Response"/>
    <tableColumn id="7" xr3:uid="{00000000-0010-0000-0200-000007000000}" name="Next step"/>
    <tableColumn id="8" xr3:uid="{00000000-0010-0000-0200-000008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chips.wisc.edu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Normal="100" workbookViewId="0">
      <selection activeCell="D10" sqref="D10"/>
    </sheetView>
  </sheetViews>
  <sheetFormatPr defaultRowHeight="15" x14ac:dyDescent="0.25"/>
  <cols>
    <col min="1" max="1" width="22" customWidth="1"/>
    <col min="2" max="2" width="78" customWidth="1"/>
    <col min="3" max="3" width="4" customWidth="1"/>
    <col min="4" max="4" width="48" customWidth="1"/>
    <col min="5" max="8" width="4" customWidth="1"/>
  </cols>
  <sheetData>
    <row r="1" spans="1:8" ht="21.95" customHeight="1" x14ac:dyDescent="0.35">
      <c r="A1" s="20" t="s">
        <v>0</v>
      </c>
      <c r="B1" s="19"/>
      <c r="C1" s="19"/>
      <c r="D1" s="19"/>
      <c r="E1" s="19"/>
      <c r="F1" s="19"/>
      <c r="G1" s="19"/>
      <c r="H1" s="19"/>
    </row>
    <row r="2" spans="1:8" ht="21.95" customHeight="1" x14ac:dyDescent="0.25"/>
    <row r="3" spans="1:8" ht="21.95" customHeight="1" x14ac:dyDescent="0.25">
      <c r="A3" s="1" t="s">
        <v>1</v>
      </c>
      <c r="B3" t="s">
        <v>2</v>
      </c>
    </row>
    <row r="4" spans="1:8" ht="21.95" customHeight="1" x14ac:dyDescent="0.25">
      <c r="A4" s="1" t="s">
        <v>3</v>
      </c>
      <c r="B4" t="s">
        <v>4</v>
      </c>
    </row>
    <row r="5" spans="1:8" ht="21.95" customHeight="1" x14ac:dyDescent="0.25">
      <c r="A5" s="1" t="s">
        <v>5</v>
      </c>
      <c r="B5" t="s">
        <v>6</v>
      </c>
    </row>
    <row r="6" spans="1:8" ht="21.95" customHeight="1" x14ac:dyDescent="0.25">
      <c r="A6" s="1" t="s">
        <v>7</v>
      </c>
      <c r="B6" t="s">
        <v>8</v>
      </c>
    </row>
    <row r="7" spans="1:8" ht="21.95" customHeight="1" x14ac:dyDescent="0.25">
      <c r="A7" s="1" t="s">
        <v>9</v>
      </c>
      <c r="B7" t="s">
        <v>10</v>
      </c>
    </row>
    <row r="8" spans="1:8" ht="21.95" customHeight="1" x14ac:dyDescent="0.25">
      <c r="A8" t="s">
        <v>11</v>
      </c>
      <c r="B8" t="s">
        <v>12</v>
      </c>
    </row>
    <row r="9" spans="1:8" ht="21.95" customHeight="1" x14ac:dyDescent="0.25">
      <c r="A9" s="2" t="s">
        <v>13</v>
      </c>
      <c r="D9" s="2" t="s">
        <v>14</v>
      </c>
    </row>
    <row r="10" spans="1:8" ht="21.95" customHeight="1" x14ac:dyDescent="0.25">
      <c r="A10" t="s">
        <v>15</v>
      </c>
      <c r="D10" t="s">
        <v>16</v>
      </c>
    </row>
    <row r="11" spans="1:8" ht="21.95" customHeight="1" x14ac:dyDescent="0.25">
      <c r="A11" t="s">
        <v>17</v>
      </c>
      <c r="D11" t="s">
        <v>18</v>
      </c>
    </row>
    <row r="12" spans="1:8" ht="21.95" customHeight="1" x14ac:dyDescent="0.25">
      <c r="A12" t="s">
        <v>19</v>
      </c>
      <c r="D12" t="s">
        <v>20</v>
      </c>
    </row>
    <row r="13" spans="1:8" ht="21.95" customHeight="1" x14ac:dyDescent="0.25">
      <c r="A13" t="s">
        <v>21</v>
      </c>
      <c r="D13" t="s">
        <v>22</v>
      </c>
    </row>
    <row r="14" spans="1:8" ht="21.95" customHeight="1" x14ac:dyDescent="0.25">
      <c r="A14" t="s">
        <v>23</v>
      </c>
      <c r="D14" t="s">
        <v>24</v>
      </c>
    </row>
    <row r="15" spans="1:8" ht="21.95" customHeight="1" x14ac:dyDescent="0.25">
      <c r="A15" t="s">
        <v>25</v>
      </c>
    </row>
    <row r="16" spans="1:8" ht="21.95" customHeight="1" x14ac:dyDescent="0.25"/>
    <row r="17" spans="1:2" ht="21.95" customHeight="1" x14ac:dyDescent="0.25">
      <c r="A17" s="2" t="s">
        <v>26</v>
      </c>
    </row>
    <row r="18" spans="1:2" ht="21.95" customHeight="1" x14ac:dyDescent="0.25">
      <c r="A18" t="s">
        <v>27</v>
      </c>
      <c r="B18" t="s">
        <v>28</v>
      </c>
    </row>
    <row r="19" spans="1:2" ht="21.95" customHeight="1" x14ac:dyDescent="0.25">
      <c r="A19" t="s">
        <v>29</v>
      </c>
      <c r="B19" t="s">
        <v>30</v>
      </c>
    </row>
    <row r="20" spans="1:2" ht="21.95" customHeight="1" x14ac:dyDescent="0.25">
      <c r="A20" t="s">
        <v>31</v>
      </c>
      <c r="B20" t="s">
        <v>32</v>
      </c>
    </row>
    <row r="21" spans="1:2" ht="21.95" customHeight="1" x14ac:dyDescent="0.25">
      <c r="A21" t="s">
        <v>33</v>
      </c>
      <c r="B21" t="s">
        <v>34</v>
      </c>
    </row>
    <row r="22" spans="1:2" ht="21.95" customHeight="1" x14ac:dyDescent="0.25"/>
    <row r="23" spans="1:2" ht="21.95" customHeight="1" x14ac:dyDescent="0.25"/>
    <row r="24" spans="1:2" ht="21.95" customHeight="1" x14ac:dyDescent="0.25"/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E500-8822-4E6D-ADAA-23F41287F38C}">
  <dimension ref="A1"/>
  <sheetViews>
    <sheetView workbookViewId="0">
      <selection activeCell="B2" sqref="B2"/>
    </sheetView>
  </sheetViews>
  <sheetFormatPr defaultRowHeight="15" x14ac:dyDescent="0.25"/>
  <cols>
    <col min="1" max="1" width="14.7109375" customWidth="1"/>
  </cols>
  <sheetData>
    <row r="1" spans="1:1" x14ac:dyDescent="0.25">
      <c r="A1" s="14" t="s">
        <v>230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A97-600E-4352-8FC2-42B7D820FD22}">
  <dimension ref="A1:H20"/>
  <sheetViews>
    <sheetView tabSelected="1" topLeftCell="D1" workbookViewId="0">
      <selection activeCell="H13" sqref="H13"/>
    </sheetView>
  </sheetViews>
  <sheetFormatPr defaultRowHeight="15" x14ac:dyDescent="0.25"/>
  <cols>
    <col min="1" max="1" width="30" customWidth="1"/>
    <col min="2" max="2" width="24" customWidth="1"/>
    <col min="3" max="3" width="18" customWidth="1"/>
    <col min="4" max="5" width="12" customWidth="1"/>
    <col min="6" max="6" width="14" customWidth="1"/>
    <col min="7" max="7" width="28" customWidth="1"/>
    <col min="8" max="8" width="76.5703125" customWidth="1"/>
  </cols>
  <sheetData>
    <row r="1" spans="1:8" ht="18.75" x14ac:dyDescent="0.3">
      <c r="A1" s="18" t="s">
        <v>219</v>
      </c>
      <c r="B1" s="19"/>
      <c r="C1" s="19"/>
      <c r="D1" s="19"/>
      <c r="E1" s="19"/>
      <c r="F1" s="19"/>
      <c r="G1" s="19"/>
      <c r="H1" s="19"/>
    </row>
    <row r="2" spans="1:8" x14ac:dyDescent="0.25">
      <c r="A2" s="15" t="s">
        <v>236</v>
      </c>
      <c r="B2" s="15" t="s">
        <v>228</v>
      </c>
      <c r="C2" s="15" t="s">
        <v>237</v>
      </c>
      <c r="D2" s="15" t="s">
        <v>229</v>
      </c>
      <c r="E2" s="2" t="s">
        <v>51</v>
      </c>
      <c r="F2" s="2" t="s">
        <v>223</v>
      </c>
      <c r="G2" s="2" t="s">
        <v>224</v>
      </c>
      <c r="H2" s="2" t="s">
        <v>225</v>
      </c>
    </row>
    <row r="3" spans="1:8" ht="30" x14ac:dyDescent="0.25">
      <c r="A3" s="17" t="s">
        <v>238</v>
      </c>
      <c r="B3" t="s">
        <v>240</v>
      </c>
      <c r="C3" s="10" t="s">
        <v>239</v>
      </c>
      <c r="D3" s="12">
        <v>46174</v>
      </c>
      <c r="E3" s="13"/>
      <c r="F3" s="10" t="s">
        <v>226</v>
      </c>
      <c r="G3" s="10" t="s">
        <v>241</v>
      </c>
      <c r="H3" s="10" t="s">
        <v>246</v>
      </c>
    </row>
    <row r="4" spans="1:8" ht="30" x14ac:dyDescent="0.25">
      <c r="A4" s="17" t="s">
        <v>242</v>
      </c>
      <c r="B4" t="s">
        <v>240</v>
      </c>
      <c r="C4" s="10" t="s">
        <v>239</v>
      </c>
      <c r="D4" s="12" t="s">
        <v>243</v>
      </c>
      <c r="E4" s="13"/>
      <c r="F4" s="10" t="s">
        <v>226</v>
      </c>
      <c r="G4" s="10" t="s">
        <v>241</v>
      </c>
      <c r="H4" s="10" t="s">
        <v>256</v>
      </c>
    </row>
    <row r="5" spans="1:8" x14ac:dyDescent="0.25">
      <c r="A5" s="17" t="s">
        <v>244</v>
      </c>
      <c r="B5" s="10" t="s">
        <v>248</v>
      </c>
      <c r="C5" s="10" t="s">
        <v>239</v>
      </c>
      <c r="D5" s="12">
        <v>46174</v>
      </c>
      <c r="E5" s="13">
        <f t="shared" ref="E5:E18" si="0">IF(D5&lt;&gt;"",D5+7,"")</f>
        <v>46181</v>
      </c>
      <c r="F5" s="10" t="s">
        <v>226</v>
      </c>
      <c r="G5" s="10" t="s">
        <v>241</v>
      </c>
      <c r="H5" s="10" t="s">
        <v>250</v>
      </c>
    </row>
    <row r="6" spans="1:8" x14ac:dyDescent="0.25">
      <c r="A6" s="17" t="s">
        <v>245</v>
      </c>
      <c r="B6" t="s">
        <v>240</v>
      </c>
      <c r="C6" s="10" t="s">
        <v>239</v>
      </c>
      <c r="D6" s="12">
        <v>46174</v>
      </c>
      <c r="E6" s="13">
        <f t="shared" si="0"/>
        <v>46181</v>
      </c>
      <c r="F6" s="10" t="s">
        <v>226</v>
      </c>
      <c r="G6" s="10" t="s">
        <v>241</v>
      </c>
      <c r="H6" s="10" t="s">
        <v>247</v>
      </c>
    </row>
    <row r="7" spans="1:8" x14ac:dyDescent="0.25">
      <c r="A7" s="17" t="s">
        <v>249</v>
      </c>
      <c r="B7" t="s">
        <v>240</v>
      </c>
      <c r="C7" s="10" t="s">
        <v>239</v>
      </c>
      <c r="D7" s="12">
        <v>46174</v>
      </c>
      <c r="E7" s="13">
        <f t="shared" si="0"/>
        <v>46181</v>
      </c>
      <c r="F7" s="10" t="s">
        <v>226</v>
      </c>
      <c r="G7" s="10" t="s">
        <v>241</v>
      </c>
      <c r="H7" t="s">
        <v>251</v>
      </c>
    </row>
    <row r="8" spans="1:8" x14ac:dyDescent="0.25">
      <c r="A8" s="17" t="s">
        <v>252</v>
      </c>
      <c r="B8" t="s">
        <v>240</v>
      </c>
      <c r="C8" s="10" t="s">
        <v>239</v>
      </c>
      <c r="D8" s="12">
        <v>46174</v>
      </c>
      <c r="E8" s="13">
        <f t="shared" si="0"/>
        <v>46181</v>
      </c>
      <c r="F8" s="10" t="s">
        <v>226</v>
      </c>
      <c r="G8" s="10" t="s">
        <v>241</v>
      </c>
      <c r="H8" s="10" t="s">
        <v>253</v>
      </c>
    </row>
    <row r="9" spans="1:8" x14ac:dyDescent="0.25">
      <c r="A9" s="17" t="s">
        <v>254</v>
      </c>
      <c r="B9" t="s">
        <v>240</v>
      </c>
      <c r="C9" s="10" t="s">
        <v>239</v>
      </c>
      <c r="D9" s="12">
        <v>46174</v>
      </c>
      <c r="E9" s="13">
        <f t="shared" si="0"/>
        <v>46181</v>
      </c>
      <c r="F9" s="10" t="s">
        <v>226</v>
      </c>
      <c r="G9" s="10" t="s">
        <v>241</v>
      </c>
      <c r="H9" s="10" t="s">
        <v>255</v>
      </c>
    </row>
    <row r="10" spans="1:8" x14ac:dyDescent="0.25">
      <c r="A10" s="11"/>
      <c r="B10" s="10"/>
      <c r="C10" s="10"/>
      <c r="D10" s="12"/>
      <c r="E10" s="13" t="str">
        <f t="shared" si="0"/>
        <v/>
      </c>
      <c r="F10" s="10" t="s">
        <v>226</v>
      </c>
      <c r="G10" s="10" t="s">
        <v>227</v>
      </c>
      <c r="H10" s="10" t="s">
        <v>227</v>
      </c>
    </row>
    <row r="11" spans="1:8" x14ac:dyDescent="0.25">
      <c r="A11" s="11"/>
      <c r="B11" s="10"/>
      <c r="C11" s="10"/>
      <c r="D11" s="12"/>
      <c r="E11" s="13" t="str">
        <f t="shared" si="0"/>
        <v/>
      </c>
      <c r="F11" s="10" t="s">
        <v>226</v>
      </c>
      <c r="G11" s="10" t="s">
        <v>227</v>
      </c>
      <c r="H11" s="10" t="s">
        <v>227</v>
      </c>
    </row>
    <row r="12" spans="1:8" x14ac:dyDescent="0.25">
      <c r="A12" s="11"/>
      <c r="B12" s="10"/>
      <c r="C12" s="10"/>
      <c r="D12" s="12"/>
      <c r="E12" s="13" t="str">
        <f t="shared" si="0"/>
        <v/>
      </c>
      <c r="F12" s="10" t="s">
        <v>226</v>
      </c>
      <c r="G12" s="10" t="s">
        <v>227</v>
      </c>
      <c r="H12" s="10" t="s">
        <v>227</v>
      </c>
    </row>
    <row r="13" spans="1:8" x14ac:dyDescent="0.25">
      <c r="A13" s="11"/>
      <c r="B13" s="10"/>
      <c r="C13" s="10"/>
      <c r="D13" s="12"/>
      <c r="E13" s="13" t="str">
        <f t="shared" si="0"/>
        <v/>
      </c>
      <c r="F13" s="10" t="s">
        <v>226</v>
      </c>
      <c r="G13" s="10" t="s">
        <v>227</v>
      </c>
      <c r="H13" s="10" t="s">
        <v>227</v>
      </c>
    </row>
    <row r="14" spans="1:8" x14ac:dyDescent="0.25">
      <c r="A14" s="11"/>
      <c r="B14" s="10"/>
      <c r="C14" s="10"/>
      <c r="D14" s="12"/>
      <c r="E14" s="13" t="str">
        <f t="shared" si="0"/>
        <v/>
      </c>
      <c r="F14" s="10" t="s">
        <v>226</v>
      </c>
      <c r="G14" s="10" t="s">
        <v>227</v>
      </c>
      <c r="H14" s="10" t="s">
        <v>227</v>
      </c>
    </row>
    <row r="15" spans="1:8" x14ac:dyDescent="0.25">
      <c r="A15" s="11"/>
      <c r="B15" s="10"/>
      <c r="C15" s="10"/>
      <c r="D15" s="12"/>
      <c r="E15" s="13" t="str">
        <f t="shared" si="0"/>
        <v/>
      </c>
      <c r="F15" s="10" t="s">
        <v>226</v>
      </c>
      <c r="G15" s="10" t="s">
        <v>227</v>
      </c>
      <c r="H15" s="10" t="s">
        <v>227</v>
      </c>
    </row>
    <row r="16" spans="1:8" x14ac:dyDescent="0.25">
      <c r="A16" s="11"/>
      <c r="B16" s="10"/>
      <c r="C16" s="10"/>
      <c r="D16" s="12"/>
      <c r="E16" s="13" t="str">
        <f t="shared" si="0"/>
        <v/>
      </c>
      <c r="F16" s="10" t="s">
        <v>226</v>
      </c>
      <c r="G16" s="10" t="s">
        <v>227</v>
      </c>
      <c r="H16" s="10" t="s">
        <v>227</v>
      </c>
    </row>
    <row r="17" spans="1:8" x14ac:dyDescent="0.25">
      <c r="A17" s="11"/>
      <c r="B17" s="10"/>
      <c r="C17" s="10"/>
      <c r="D17" s="12"/>
      <c r="E17" s="13" t="str">
        <f t="shared" si="0"/>
        <v/>
      </c>
      <c r="F17" s="10" t="s">
        <v>226</v>
      </c>
      <c r="G17" s="10" t="s">
        <v>227</v>
      </c>
      <c r="H17" s="10" t="s">
        <v>227</v>
      </c>
    </row>
    <row r="18" spans="1:8" x14ac:dyDescent="0.25">
      <c r="A18" s="11"/>
      <c r="B18" s="10"/>
      <c r="C18" s="10"/>
      <c r="D18" s="12"/>
      <c r="E18" s="13" t="str">
        <f t="shared" si="0"/>
        <v/>
      </c>
      <c r="F18" s="10" t="s">
        <v>226</v>
      </c>
      <c r="H18" s="10" t="s">
        <v>227</v>
      </c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10"/>
      <c r="B20" s="10"/>
      <c r="C20" s="10"/>
      <c r="D20" s="10"/>
      <c r="E20" s="10"/>
      <c r="F20" s="10"/>
      <c r="G20" s="10"/>
      <c r="H20" s="10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opLeftCell="A4" workbookViewId="0">
      <selection sqref="A1:P1"/>
    </sheetView>
  </sheetViews>
  <sheetFormatPr defaultRowHeight="15" x14ac:dyDescent="0.25"/>
  <cols>
    <col min="1" max="1" width="30" customWidth="1"/>
    <col min="2" max="2" width="16" customWidth="1"/>
    <col min="3" max="3" width="30" customWidth="1"/>
    <col min="4" max="4" width="48" customWidth="1"/>
    <col min="5" max="5" width="46" customWidth="1"/>
    <col min="6" max="7" width="18" customWidth="1"/>
    <col min="8" max="8" width="12" customWidth="1"/>
    <col min="9" max="10" width="28" customWidth="1"/>
    <col min="11" max="12" width="34" customWidth="1"/>
    <col min="13" max="13" width="36" customWidth="1"/>
    <col min="14" max="14" width="16" customWidth="1"/>
    <col min="15" max="16" width="14" customWidth="1"/>
  </cols>
  <sheetData>
    <row r="1" spans="1:16" ht="24" customHeight="1" x14ac:dyDescent="0.3">
      <c r="A1" s="18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42" customHeight="1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</row>
    <row r="3" spans="1:16" ht="42" customHeight="1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5">
        <v>5</v>
      </c>
      <c r="G3" s="5">
        <v>5</v>
      </c>
      <c r="H3" s="6">
        <f t="shared" ref="H3:H18" si="0">SUM(F3:G3)</f>
        <v>10</v>
      </c>
      <c r="I3" s="7" t="s">
        <v>57</v>
      </c>
      <c r="J3" s="7" t="s">
        <v>58</v>
      </c>
      <c r="K3" s="7" t="s">
        <v>59</v>
      </c>
      <c r="L3" s="7" t="s">
        <v>60</v>
      </c>
      <c r="M3" s="8" t="s">
        <v>61</v>
      </c>
      <c r="N3" s="4" t="s">
        <v>62</v>
      </c>
      <c r="O3" s="9"/>
      <c r="P3" s="9" t="str">
        <f t="shared" ref="P3:P18" si="1">IF(O3&lt;&gt;"",O3+7,"")</f>
        <v/>
      </c>
    </row>
    <row r="4" spans="1:16" ht="42" customHeight="1" x14ac:dyDescent="0.25">
      <c r="A4" s="4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5">
        <v>4</v>
      </c>
      <c r="G4" s="5">
        <v>5</v>
      </c>
      <c r="H4" s="6">
        <f t="shared" si="0"/>
        <v>9</v>
      </c>
      <c r="I4" s="7" t="s">
        <v>68</v>
      </c>
      <c r="J4" s="7" t="s">
        <v>69</v>
      </c>
      <c r="K4" s="7" t="s">
        <v>70</v>
      </c>
      <c r="L4" s="7" t="s">
        <v>71</v>
      </c>
      <c r="M4" s="8" t="s">
        <v>72</v>
      </c>
      <c r="N4" s="4" t="s">
        <v>62</v>
      </c>
      <c r="O4" s="9"/>
      <c r="P4" s="9" t="str">
        <f t="shared" si="1"/>
        <v/>
      </c>
    </row>
    <row r="5" spans="1:16" ht="42" customHeight="1" x14ac:dyDescent="0.25">
      <c r="A5" s="4" t="s">
        <v>73</v>
      </c>
      <c r="B5" s="4" t="s">
        <v>74</v>
      </c>
      <c r="C5" s="4" t="s">
        <v>75</v>
      </c>
      <c r="D5" s="4" t="s">
        <v>76</v>
      </c>
      <c r="E5" s="4" t="s">
        <v>77</v>
      </c>
      <c r="F5" s="5">
        <v>4</v>
      </c>
      <c r="G5" s="5">
        <v>5</v>
      </c>
      <c r="H5" s="6">
        <f t="shared" si="0"/>
        <v>9</v>
      </c>
      <c r="I5" s="7" t="s">
        <v>78</v>
      </c>
      <c r="J5" s="7" t="s">
        <v>79</v>
      </c>
      <c r="K5" s="7" t="s">
        <v>78</v>
      </c>
      <c r="L5" s="7" t="s">
        <v>80</v>
      </c>
      <c r="M5" s="8" t="s">
        <v>81</v>
      </c>
      <c r="N5" s="4" t="s">
        <v>62</v>
      </c>
      <c r="O5" s="9"/>
      <c r="P5" s="9" t="str">
        <f t="shared" si="1"/>
        <v/>
      </c>
    </row>
    <row r="6" spans="1:16" ht="42" customHeight="1" x14ac:dyDescent="0.25">
      <c r="A6" s="4" t="s">
        <v>82</v>
      </c>
      <c r="B6" s="4" t="s">
        <v>83</v>
      </c>
      <c r="C6" s="4" t="s">
        <v>84</v>
      </c>
      <c r="D6" s="4" t="s">
        <v>85</v>
      </c>
      <c r="E6" s="4" t="s">
        <v>86</v>
      </c>
      <c r="F6" s="5">
        <v>4</v>
      </c>
      <c r="G6" s="5">
        <v>4</v>
      </c>
      <c r="H6" s="6">
        <f t="shared" si="0"/>
        <v>8</v>
      </c>
      <c r="I6" s="7" t="s">
        <v>87</v>
      </c>
      <c r="J6" s="7" t="s">
        <v>88</v>
      </c>
      <c r="K6" s="7" t="s">
        <v>88</v>
      </c>
      <c r="L6" s="7" t="s">
        <v>89</v>
      </c>
      <c r="M6" s="8" t="s">
        <v>90</v>
      </c>
      <c r="N6" s="4" t="s">
        <v>62</v>
      </c>
      <c r="O6" s="9"/>
      <c r="P6" s="9" t="str">
        <f t="shared" si="1"/>
        <v/>
      </c>
    </row>
    <row r="7" spans="1:16" ht="42" customHeight="1" x14ac:dyDescent="0.25">
      <c r="A7" s="4" t="s">
        <v>91</v>
      </c>
      <c r="B7" s="4" t="s">
        <v>92</v>
      </c>
      <c r="C7" s="4" t="s">
        <v>93</v>
      </c>
      <c r="D7" s="4" t="s">
        <v>94</v>
      </c>
      <c r="E7" s="4" t="s">
        <v>95</v>
      </c>
      <c r="F7" s="5">
        <v>3</v>
      </c>
      <c r="G7" s="5">
        <v>5</v>
      </c>
      <c r="H7" s="6">
        <f t="shared" si="0"/>
        <v>8</v>
      </c>
      <c r="I7" s="7" t="s">
        <v>96</v>
      </c>
      <c r="J7" s="7" t="s">
        <v>97</v>
      </c>
      <c r="K7" s="7" t="s">
        <v>98</v>
      </c>
      <c r="L7" s="7" t="s">
        <v>99</v>
      </c>
      <c r="M7" s="8" t="s">
        <v>100</v>
      </c>
      <c r="N7" s="4" t="s">
        <v>62</v>
      </c>
      <c r="O7" s="9"/>
      <c r="P7" s="9" t="str">
        <f t="shared" si="1"/>
        <v/>
      </c>
    </row>
    <row r="8" spans="1:16" ht="42" customHeight="1" x14ac:dyDescent="0.25">
      <c r="A8" s="4" t="s">
        <v>101</v>
      </c>
      <c r="B8" s="4" t="s">
        <v>102</v>
      </c>
      <c r="C8" s="4" t="s">
        <v>103</v>
      </c>
      <c r="D8" s="4" t="s">
        <v>104</v>
      </c>
      <c r="E8" s="4" t="s">
        <v>105</v>
      </c>
      <c r="F8" s="5">
        <v>4</v>
      </c>
      <c r="G8" s="5">
        <v>3</v>
      </c>
      <c r="H8" s="6">
        <f t="shared" si="0"/>
        <v>7</v>
      </c>
      <c r="I8" s="7" t="s">
        <v>106</v>
      </c>
      <c r="J8" s="7" t="s">
        <v>107</v>
      </c>
      <c r="K8" s="7" t="s">
        <v>107</v>
      </c>
      <c r="L8" s="7" t="s">
        <v>108</v>
      </c>
      <c r="M8" s="8" t="s">
        <v>109</v>
      </c>
      <c r="N8" s="4" t="s">
        <v>62</v>
      </c>
      <c r="O8" s="9"/>
      <c r="P8" s="9" t="str">
        <f t="shared" si="1"/>
        <v/>
      </c>
    </row>
    <row r="9" spans="1:16" ht="42" customHeight="1" x14ac:dyDescent="0.25">
      <c r="A9" s="4" t="s">
        <v>110</v>
      </c>
      <c r="B9" s="4" t="s">
        <v>111</v>
      </c>
      <c r="C9" s="4" t="s">
        <v>112</v>
      </c>
      <c r="D9" s="4" t="s">
        <v>113</v>
      </c>
      <c r="E9" s="4" t="s">
        <v>114</v>
      </c>
      <c r="F9" s="5">
        <v>3</v>
      </c>
      <c r="G9" s="5">
        <v>4</v>
      </c>
      <c r="H9" s="6">
        <f t="shared" si="0"/>
        <v>7</v>
      </c>
      <c r="I9" s="7" t="s">
        <v>115</v>
      </c>
      <c r="J9" s="7" t="s">
        <v>116</v>
      </c>
      <c r="K9" s="7" t="s">
        <v>117</v>
      </c>
      <c r="L9" s="7" t="s">
        <v>118</v>
      </c>
      <c r="M9" s="8" t="s">
        <v>119</v>
      </c>
      <c r="N9" s="4" t="s">
        <v>62</v>
      </c>
      <c r="O9" s="9"/>
      <c r="P9" s="9" t="str">
        <f t="shared" si="1"/>
        <v/>
      </c>
    </row>
    <row r="10" spans="1:16" ht="42" customHeight="1" x14ac:dyDescent="0.25">
      <c r="A10" s="4" t="s">
        <v>120</v>
      </c>
      <c r="B10" s="4" t="s">
        <v>74</v>
      </c>
      <c r="C10" s="4" t="s">
        <v>121</v>
      </c>
      <c r="D10" s="4" t="s">
        <v>122</v>
      </c>
      <c r="E10" s="4" t="s">
        <v>123</v>
      </c>
      <c r="F10" s="5">
        <v>3</v>
      </c>
      <c r="G10" s="5">
        <v>4</v>
      </c>
      <c r="H10" s="6">
        <f t="shared" si="0"/>
        <v>7</v>
      </c>
      <c r="I10" s="7" t="s">
        <v>124</v>
      </c>
      <c r="J10" s="7" t="s">
        <v>125</v>
      </c>
      <c r="K10" s="7" t="s">
        <v>125</v>
      </c>
      <c r="L10" s="7" t="s">
        <v>126</v>
      </c>
      <c r="M10" s="8" t="s">
        <v>127</v>
      </c>
      <c r="N10" s="4" t="s">
        <v>62</v>
      </c>
      <c r="O10" s="9"/>
      <c r="P10" s="9" t="str">
        <f t="shared" si="1"/>
        <v/>
      </c>
    </row>
    <row r="11" spans="1:16" ht="42" customHeight="1" x14ac:dyDescent="0.25">
      <c r="A11" s="4" t="s">
        <v>128</v>
      </c>
      <c r="B11" s="4" t="s">
        <v>111</v>
      </c>
      <c r="C11" s="4" t="s">
        <v>129</v>
      </c>
      <c r="D11" s="4" t="s">
        <v>130</v>
      </c>
      <c r="E11" s="4" t="s">
        <v>131</v>
      </c>
      <c r="F11" s="5">
        <v>4</v>
      </c>
      <c r="G11" s="5">
        <v>3</v>
      </c>
      <c r="H11" s="6">
        <f t="shared" si="0"/>
        <v>7</v>
      </c>
      <c r="I11" s="7" t="s">
        <v>132</v>
      </c>
      <c r="J11" s="7" t="s">
        <v>133</v>
      </c>
      <c r="K11" s="7" t="s">
        <v>132</v>
      </c>
      <c r="L11" s="7" t="s">
        <v>133</v>
      </c>
      <c r="M11" s="8" t="s">
        <v>134</v>
      </c>
      <c r="N11" s="4" t="s">
        <v>62</v>
      </c>
      <c r="O11" s="9"/>
      <c r="P11" s="9" t="str">
        <f t="shared" si="1"/>
        <v/>
      </c>
    </row>
    <row r="12" spans="1:16" ht="42" customHeight="1" x14ac:dyDescent="0.25">
      <c r="A12" s="4" t="s">
        <v>135</v>
      </c>
      <c r="B12" s="4" t="s">
        <v>92</v>
      </c>
      <c r="C12" s="4" t="s">
        <v>136</v>
      </c>
      <c r="D12" s="4" t="s">
        <v>137</v>
      </c>
      <c r="E12" s="4" t="s">
        <v>138</v>
      </c>
      <c r="F12" s="5">
        <v>3</v>
      </c>
      <c r="G12" s="5">
        <v>3</v>
      </c>
      <c r="H12" s="6">
        <f t="shared" si="0"/>
        <v>6</v>
      </c>
      <c r="I12" s="7" t="s">
        <v>139</v>
      </c>
      <c r="J12" s="7" t="s">
        <v>140</v>
      </c>
      <c r="K12" s="7" t="s">
        <v>141</v>
      </c>
      <c r="L12" s="7" t="s">
        <v>140</v>
      </c>
      <c r="M12" s="8" t="s">
        <v>142</v>
      </c>
      <c r="N12" s="4" t="s">
        <v>62</v>
      </c>
      <c r="O12" s="9"/>
      <c r="P12" s="9" t="str">
        <f t="shared" si="1"/>
        <v/>
      </c>
    </row>
    <row r="13" spans="1:16" ht="42" customHeight="1" x14ac:dyDescent="0.25">
      <c r="A13" s="4" t="s">
        <v>143</v>
      </c>
      <c r="B13" s="4" t="s">
        <v>111</v>
      </c>
      <c r="C13" s="4" t="s">
        <v>144</v>
      </c>
      <c r="D13" s="4" t="s">
        <v>145</v>
      </c>
      <c r="E13" s="4" t="s">
        <v>146</v>
      </c>
      <c r="F13" s="5">
        <v>3</v>
      </c>
      <c r="G13" s="5">
        <v>3</v>
      </c>
      <c r="H13" s="6">
        <f t="shared" si="0"/>
        <v>6</v>
      </c>
      <c r="I13" s="7" t="s">
        <v>147</v>
      </c>
      <c r="J13" s="7" t="s">
        <v>148</v>
      </c>
      <c r="K13" s="7" t="s">
        <v>148</v>
      </c>
      <c r="L13" s="7" t="s">
        <v>149</v>
      </c>
      <c r="M13" s="8" t="s">
        <v>150</v>
      </c>
      <c r="N13" s="4" t="s">
        <v>62</v>
      </c>
      <c r="O13" s="9"/>
      <c r="P13" s="9" t="str">
        <f t="shared" si="1"/>
        <v/>
      </c>
    </row>
    <row r="14" spans="1:16" ht="42" customHeight="1" x14ac:dyDescent="0.25">
      <c r="A14" s="4" t="s">
        <v>151</v>
      </c>
      <c r="B14" s="4" t="s">
        <v>111</v>
      </c>
      <c r="C14" s="4" t="s">
        <v>152</v>
      </c>
      <c r="D14" s="4" t="s">
        <v>153</v>
      </c>
      <c r="E14" s="4" t="s">
        <v>154</v>
      </c>
      <c r="F14" s="5">
        <v>3</v>
      </c>
      <c r="G14" s="5">
        <v>3</v>
      </c>
      <c r="H14" s="6">
        <f t="shared" si="0"/>
        <v>6</v>
      </c>
      <c r="I14" s="7" t="s">
        <v>155</v>
      </c>
      <c r="J14" s="7" t="s">
        <v>156</v>
      </c>
      <c r="K14" s="7" t="s">
        <v>157</v>
      </c>
      <c r="L14" s="7" t="s">
        <v>158</v>
      </c>
      <c r="M14" s="8" t="s">
        <v>159</v>
      </c>
      <c r="N14" s="4" t="s">
        <v>62</v>
      </c>
      <c r="O14" s="9"/>
      <c r="P14" s="9" t="str">
        <f t="shared" si="1"/>
        <v/>
      </c>
    </row>
    <row r="15" spans="1:16" ht="42" customHeight="1" x14ac:dyDescent="0.25">
      <c r="A15" s="4" t="s">
        <v>160</v>
      </c>
      <c r="B15" s="4" t="s">
        <v>161</v>
      </c>
      <c r="C15" s="4" t="s">
        <v>162</v>
      </c>
      <c r="D15" s="4" t="s">
        <v>163</v>
      </c>
      <c r="E15" s="4" t="s">
        <v>164</v>
      </c>
      <c r="F15" s="5">
        <v>3</v>
      </c>
      <c r="G15" s="5">
        <v>3</v>
      </c>
      <c r="H15" s="6">
        <f t="shared" si="0"/>
        <v>6</v>
      </c>
      <c r="I15" s="7" t="s">
        <v>165</v>
      </c>
      <c r="J15" s="7" t="s">
        <v>166</v>
      </c>
      <c r="K15" s="7" t="s">
        <v>166</v>
      </c>
      <c r="L15" s="7" t="s">
        <v>167</v>
      </c>
      <c r="M15" s="8" t="s">
        <v>168</v>
      </c>
      <c r="N15" s="4" t="s">
        <v>62</v>
      </c>
      <c r="O15" s="9"/>
      <c r="P15" s="9" t="str">
        <f t="shared" si="1"/>
        <v/>
      </c>
    </row>
    <row r="16" spans="1:16" ht="42" customHeight="1" x14ac:dyDescent="0.25">
      <c r="A16" s="4" t="s">
        <v>169</v>
      </c>
      <c r="B16" s="4" t="s">
        <v>170</v>
      </c>
      <c r="C16" s="4" t="s">
        <v>171</v>
      </c>
      <c r="D16" s="4" t="s">
        <v>172</v>
      </c>
      <c r="E16" s="4" t="s">
        <v>173</v>
      </c>
      <c r="F16" s="5">
        <v>3</v>
      </c>
      <c r="G16" s="5">
        <v>3</v>
      </c>
      <c r="H16" s="6">
        <f t="shared" si="0"/>
        <v>6</v>
      </c>
      <c r="I16" s="7" t="s">
        <v>174</v>
      </c>
      <c r="J16" s="7" t="s">
        <v>175</v>
      </c>
      <c r="K16" s="7" t="s">
        <v>175</v>
      </c>
      <c r="L16" s="7" t="s">
        <v>176</v>
      </c>
      <c r="M16" s="8" t="s">
        <v>177</v>
      </c>
      <c r="N16" s="4" t="s">
        <v>62</v>
      </c>
      <c r="O16" s="9"/>
      <c r="P16" s="9" t="str">
        <f t="shared" si="1"/>
        <v/>
      </c>
    </row>
    <row r="17" spans="1:16" ht="42" customHeight="1" x14ac:dyDescent="0.25">
      <c r="A17" s="4" t="s">
        <v>178</v>
      </c>
      <c r="B17" s="4" t="s">
        <v>179</v>
      </c>
      <c r="C17" s="4" t="s">
        <v>180</v>
      </c>
      <c r="D17" s="4" t="s">
        <v>181</v>
      </c>
      <c r="E17" s="4" t="s">
        <v>182</v>
      </c>
      <c r="F17" s="5">
        <v>3</v>
      </c>
      <c r="G17" s="5">
        <v>3</v>
      </c>
      <c r="H17" s="6">
        <f t="shared" si="0"/>
        <v>6</v>
      </c>
      <c r="I17" s="7" t="s">
        <v>183</v>
      </c>
      <c r="J17" s="7" t="s">
        <v>183</v>
      </c>
      <c r="K17" s="7" t="s">
        <v>183</v>
      </c>
      <c r="L17" s="7" t="s">
        <v>184</v>
      </c>
      <c r="M17" s="8" t="s">
        <v>185</v>
      </c>
      <c r="N17" s="4" t="s">
        <v>62</v>
      </c>
      <c r="O17" s="9"/>
      <c r="P17" s="9" t="str">
        <f t="shared" si="1"/>
        <v/>
      </c>
    </row>
    <row r="18" spans="1:16" ht="42" customHeight="1" x14ac:dyDescent="0.25">
      <c r="A18" s="4" t="s">
        <v>186</v>
      </c>
      <c r="B18" s="4" t="s">
        <v>111</v>
      </c>
      <c r="C18" s="4" t="s">
        <v>187</v>
      </c>
      <c r="D18" s="4" t="s">
        <v>188</v>
      </c>
      <c r="E18" s="4" t="s">
        <v>189</v>
      </c>
      <c r="F18" s="5">
        <v>3</v>
      </c>
      <c r="G18" s="5">
        <v>2</v>
      </c>
      <c r="H18" s="6">
        <f t="shared" si="0"/>
        <v>5</v>
      </c>
      <c r="I18" s="7" t="s">
        <v>190</v>
      </c>
      <c r="J18" s="7" t="s">
        <v>191</v>
      </c>
      <c r="K18" s="7" t="s">
        <v>191</v>
      </c>
      <c r="L18" s="7" t="s">
        <v>192</v>
      </c>
      <c r="M18" s="8" t="s">
        <v>193</v>
      </c>
      <c r="N18" s="4" t="s">
        <v>62</v>
      </c>
      <c r="O18" s="9"/>
      <c r="P18" s="9" t="str">
        <f t="shared" si="1"/>
        <v/>
      </c>
    </row>
    <row r="19" spans="1:16" ht="42" customHeight="1" x14ac:dyDescent="0.25">
      <c r="A19" s="4"/>
      <c r="B19" s="4"/>
      <c r="C19" s="4"/>
      <c r="D19" s="4"/>
      <c r="E19" s="4"/>
      <c r="F19" s="5"/>
      <c r="G19" s="5"/>
      <c r="H19" s="6"/>
      <c r="I19" s="7"/>
      <c r="J19" s="7"/>
      <c r="K19" s="7"/>
      <c r="L19" s="7"/>
      <c r="M19" s="8"/>
      <c r="N19" s="4"/>
      <c r="O19" s="9"/>
      <c r="P19" s="9"/>
    </row>
    <row r="20" spans="1:16" ht="42" customHeight="1" x14ac:dyDescent="0.25">
      <c r="A20" s="4"/>
      <c r="B20" s="4"/>
      <c r="C20" s="4"/>
      <c r="D20" s="4"/>
      <c r="E20" s="4"/>
      <c r="F20" s="5"/>
      <c r="G20" s="5"/>
      <c r="H20" s="6"/>
      <c r="I20" s="7"/>
      <c r="J20" s="7"/>
      <c r="K20" s="7"/>
      <c r="L20" s="7"/>
      <c r="M20" s="8"/>
      <c r="N20" s="4"/>
      <c r="O20" s="9"/>
      <c r="P20" s="9"/>
    </row>
    <row r="21" spans="1:16" ht="42" customHeight="1" x14ac:dyDescent="0.25">
      <c r="A21" s="4"/>
      <c r="B21" s="4"/>
      <c r="C21" s="4"/>
      <c r="D21" s="4"/>
      <c r="E21" s="4"/>
      <c r="F21" s="5"/>
      <c r="G21" s="5"/>
      <c r="H21" s="6"/>
      <c r="I21" s="7"/>
      <c r="J21" s="7"/>
      <c r="K21" s="7"/>
      <c r="L21" s="7"/>
      <c r="M21" s="8"/>
      <c r="N21" s="4"/>
      <c r="O21" s="9"/>
      <c r="P21" s="9"/>
    </row>
    <row r="22" spans="1:16" ht="42" customHeight="1" x14ac:dyDescent="0.25">
      <c r="A22" s="4"/>
      <c r="B22" s="4"/>
      <c r="C22" s="4"/>
      <c r="D22" s="4"/>
      <c r="E22" s="4"/>
      <c r="F22" s="5"/>
      <c r="G22" s="5"/>
      <c r="H22" s="6"/>
      <c r="I22" s="7"/>
      <c r="J22" s="7"/>
      <c r="K22" s="7"/>
      <c r="L22" s="7"/>
      <c r="M22" s="8"/>
      <c r="N22" s="4"/>
      <c r="O22" s="9"/>
      <c r="P22" s="9"/>
    </row>
    <row r="23" spans="1:16" ht="42" customHeight="1" x14ac:dyDescent="0.25">
      <c r="A23" s="4"/>
      <c r="B23" s="4"/>
      <c r="C23" s="4"/>
      <c r="D23" s="4"/>
      <c r="E23" s="4"/>
      <c r="F23" s="5"/>
      <c r="G23" s="5"/>
      <c r="H23" s="6"/>
      <c r="I23" s="7"/>
      <c r="J23" s="7"/>
      <c r="K23" s="7"/>
      <c r="L23" s="7"/>
      <c r="M23" s="8"/>
      <c r="N23" s="4"/>
      <c r="O23" s="9"/>
      <c r="P23" s="9"/>
    </row>
    <row r="24" spans="1:16" ht="42" customHeight="1" x14ac:dyDescent="0.25">
      <c r="A24" s="4"/>
      <c r="B24" s="4"/>
      <c r="C24" s="4"/>
      <c r="D24" s="4"/>
      <c r="E24" s="4"/>
      <c r="F24" s="5"/>
      <c r="G24" s="5"/>
      <c r="H24" s="6"/>
      <c r="I24" s="7"/>
      <c r="J24" s="7"/>
      <c r="K24" s="7"/>
      <c r="L24" s="7"/>
      <c r="M24" s="8"/>
      <c r="N24" s="4"/>
      <c r="O24" s="9"/>
      <c r="P24" s="9"/>
    </row>
    <row r="25" spans="1:16" ht="42" customHeight="1" x14ac:dyDescent="0.25">
      <c r="A25" s="4"/>
      <c r="B25" s="4"/>
      <c r="C25" s="4"/>
      <c r="D25" s="4"/>
      <c r="E25" s="4"/>
      <c r="F25" s="5"/>
      <c r="G25" s="5"/>
      <c r="H25" s="6"/>
      <c r="I25" s="7"/>
      <c r="J25" s="7"/>
      <c r="K25" s="7"/>
      <c r="L25" s="7"/>
      <c r="M25" s="8"/>
      <c r="N25" s="4"/>
      <c r="O25" s="9"/>
      <c r="P25" s="9"/>
    </row>
    <row r="26" spans="1:16" ht="42" customHeight="1" x14ac:dyDescent="0.25">
      <c r="A26" s="4"/>
      <c r="B26" s="4"/>
      <c r="C26" s="4"/>
      <c r="D26" s="4"/>
      <c r="E26" s="4"/>
      <c r="F26" s="5"/>
      <c r="G26" s="5"/>
      <c r="H26" s="6"/>
      <c r="I26" s="7"/>
      <c r="J26" s="7"/>
      <c r="K26" s="7"/>
      <c r="L26" s="7"/>
      <c r="M26" s="8"/>
      <c r="N26" s="4"/>
      <c r="O26" s="9"/>
      <c r="P26" s="9"/>
    </row>
    <row r="27" spans="1:16" ht="42" customHeight="1" x14ac:dyDescent="0.25">
      <c r="A27" s="4"/>
      <c r="B27" s="4"/>
      <c r="C27" s="4"/>
      <c r="D27" s="4"/>
      <c r="E27" s="4"/>
      <c r="F27" s="5"/>
      <c r="G27" s="5"/>
      <c r="H27" s="6"/>
      <c r="I27" s="7"/>
      <c r="J27" s="7"/>
      <c r="K27" s="7"/>
      <c r="L27" s="7"/>
      <c r="M27" s="8"/>
      <c r="N27" s="4"/>
      <c r="O27" s="9"/>
      <c r="P27" s="9"/>
    </row>
    <row r="28" spans="1:16" ht="42" customHeight="1" x14ac:dyDescent="0.25">
      <c r="A28" s="4"/>
      <c r="B28" s="4"/>
      <c r="C28" s="4"/>
      <c r="D28" s="4"/>
      <c r="E28" s="4"/>
      <c r="F28" s="5"/>
      <c r="G28" s="5"/>
      <c r="H28" s="6"/>
      <c r="I28" s="7"/>
      <c r="J28" s="7"/>
      <c r="K28" s="7"/>
      <c r="L28" s="7"/>
      <c r="M28" s="8"/>
      <c r="N28" s="4"/>
      <c r="O28" s="9"/>
      <c r="P28" s="9"/>
    </row>
    <row r="29" spans="1:16" ht="42" customHeight="1" x14ac:dyDescent="0.25">
      <c r="A29" s="4"/>
      <c r="B29" s="4"/>
      <c r="C29" s="4"/>
      <c r="D29" s="4"/>
      <c r="E29" s="4"/>
      <c r="F29" s="5"/>
      <c r="G29" s="5"/>
      <c r="H29" s="6"/>
      <c r="I29" s="7"/>
      <c r="J29" s="7"/>
      <c r="K29" s="7"/>
      <c r="L29" s="7"/>
      <c r="M29" s="8"/>
      <c r="N29" s="4"/>
      <c r="O29" s="9"/>
      <c r="P29" s="9"/>
    </row>
    <row r="30" spans="1:16" ht="42" customHeight="1" x14ac:dyDescent="0.25">
      <c r="A30" s="4"/>
      <c r="B30" s="4"/>
      <c r="C30" s="4"/>
      <c r="D30" s="4"/>
      <c r="E30" s="4"/>
      <c r="F30" s="5"/>
      <c r="G30" s="5"/>
      <c r="H30" s="6"/>
      <c r="I30" s="7"/>
      <c r="J30" s="7"/>
      <c r="K30" s="7"/>
      <c r="L30" s="7"/>
      <c r="M30" s="8"/>
      <c r="N30" s="4"/>
      <c r="O30" s="9"/>
      <c r="P30" s="9"/>
    </row>
    <row r="31" spans="1:16" ht="42" customHeight="1" x14ac:dyDescent="0.25">
      <c r="A31" s="4"/>
      <c r="B31" s="4"/>
      <c r="C31" s="4"/>
      <c r="D31" s="4"/>
      <c r="E31" s="4"/>
      <c r="F31" s="5"/>
      <c r="G31" s="5"/>
      <c r="H31" s="6"/>
      <c r="I31" s="7"/>
      <c r="J31" s="7"/>
      <c r="K31" s="7"/>
      <c r="L31" s="7"/>
      <c r="M31" s="8"/>
      <c r="N31" s="4"/>
      <c r="O31" s="9"/>
      <c r="P31" s="9"/>
    </row>
    <row r="32" spans="1:16" ht="42" customHeight="1" x14ac:dyDescent="0.25">
      <c r="A32" s="4"/>
      <c r="B32" s="4"/>
      <c r="C32" s="4"/>
      <c r="D32" s="4"/>
      <c r="E32" s="4"/>
      <c r="F32" s="5"/>
      <c r="G32" s="5"/>
      <c r="H32" s="6"/>
      <c r="I32" s="7"/>
      <c r="J32" s="7"/>
      <c r="K32" s="7"/>
      <c r="L32" s="7"/>
      <c r="M32" s="8"/>
      <c r="N32" s="4"/>
      <c r="O32" s="9"/>
      <c r="P32" s="9"/>
    </row>
    <row r="33" spans="1:16" ht="42" customHeight="1" x14ac:dyDescent="0.25">
      <c r="A33" s="4"/>
      <c r="B33" s="4"/>
      <c r="C33" s="4"/>
      <c r="D33" s="4"/>
      <c r="E33" s="4"/>
      <c r="F33" s="5"/>
      <c r="G33" s="5"/>
      <c r="H33" s="6"/>
      <c r="I33" s="7"/>
      <c r="J33" s="7"/>
      <c r="K33" s="7"/>
      <c r="L33" s="7"/>
      <c r="M33" s="8"/>
      <c r="N33" s="4"/>
      <c r="O33" s="9"/>
      <c r="P33" s="9"/>
    </row>
    <row r="34" spans="1:16" ht="42" customHeight="1" x14ac:dyDescent="0.25">
      <c r="A34" s="4"/>
      <c r="B34" s="4"/>
      <c r="C34" s="4"/>
      <c r="D34" s="4"/>
      <c r="E34" s="4"/>
      <c r="F34" s="5"/>
      <c r="G34" s="5"/>
      <c r="H34" s="6"/>
      <c r="I34" s="7"/>
      <c r="J34" s="7"/>
      <c r="K34" s="7"/>
      <c r="L34" s="7"/>
      <c r="M34" s="8"/>
      <c r="N34" s="4"/>
      <c r="O34" s="9"/>
      <c r="P34" s="9"/>
    </row>
    <row r="35" spans="1:16" ht="42" customHeight="1" x14ac:dyDescent="0.25">
      <c r="A35" s="4"/>
      <c r="B35" s="4"/>
      <c r="C35" s="4"/>
      <c r="D35" s="4"/>
      <c r="E35" s="4"/>
      <c r="F35" s="5"/>
      <c r="G35" s="5"/>
      <c r="H35" s="6"/>
      <c r="I35" s="7"/>
      <c r="J35" s="7"/>
      <c r="K35" s="7"/>
      <c r="L35" s="7"/>
      <c r="M35" s="8"/>
      <c r="N35" s="4"/>
      <c r="O35" s="9"/>
      <c r="P35" s="9"/>
    </row>
    <row r="36" spans="1:16" ht="42" customHeight="1" x14ac:dyDescent="0.25">
      <c r="A36" s="4"/>
      <c r="B36" s="4"/>
      <c r="C36" s="4"/>
      <c r="D36" s="4"/>
      <c r="E36" s="4"/>
      <c r="F36" s="5"/>
      <c r="G36" s="5"/>
      <c r="H36" s="6"/>
      <c r="I36" s="7"/>
      <c r="J36" s="7"/>
      <c r="K36" s="7"/>
      <c r="L36" s="7"/>
      <c r="M36" s="8"/>
      <c r="N36" s="4"/>
      <c r="O36" s="9"/>
      <c r="P36" s="9"/>
    </row>
    <row r="37" spans="1:16" ht="42" customHeight="1" x14ac:dyDescent="0.25">
      <c r="A37" s="4"/>
      <c r="B37" s="4"/>
      <c r="C37" s="4"/>
      <c r="D37" s="4"/>
      <c r="E37" s="4"/>
      <c r="F37" s="5"/>
      <c r="G37" s="5"/>
      <c r="H37" s="6"/>
      <c r="I37" s="7"/>
      <c r="J37" s="7"/>
      <c r="K37" s="7"/>
      <c r="L37" s="7"/>
      <c r="M37" s="8"/>
      <c r="N37" s="4"/>
      <c r="O37" s="9"/>
      <c r="P37" s="9"/>
    </row>
    <row r="38" spans="1:16" ht="42" customHeight="1" x14ac:dyDescent="0.25">
      <c r="A38" s="4"/>
      <c r="B38" s="4"/>
      <c r="C38" s="4"/>
      <c r="D38" s="4"/>
      <c r="E38" s="4"/>
      <c r="F38" s="5"/>
      <c r="G38" s="5"/>
      <c r="H38" s="6"/>
      <c r="I38" s="7"/>
      <c r="J38" s="7"/>
      <c r="K38" s="7"/>
      <c r="L38" s="7"/>
      <c r="M38" s="8"/>
      <c r="N38" s="4"/>
      <c r="O38" s="9"/>
      <c r="P38" s="9"/>
    </row>
    <row r="39" spans="1:16" ht="42" customHeight="1" x14ac:dyDescent="0.25">
      <c r="A39" s="4"/>
      <c r="B39" s="4"/>
      <c r="C39" s="4"/>
      <c r="D39" s="4"/>
      <c r="E39" s="4"/>
      <c r="F39" s="5"/>
      <c r="G39" s="5"/>
      <c r="H39" s="6"/>
      <c r="I39" s="7"/>
      <c r="J39" s="7"/>
      <c r="K39" s="7"/>
      <c r="L39" s="7"/>
      <c r="M39" s="8"/>
      <c r="N39" s="4"/>
      <c r="O39" s="9"/>
      <c r="P39" s="9"/>
    </row>
    <row r="40" spans="1:16" ht="42" customHeight="1" x14ac:dyDescent="0.25">
      <c r="A40" s="4"/>
      <c r="B40" s="4"/>
      <c r="C40" s="4"/>
      <c r="D40" s="4"/>
      <c r="E40" s="4"/>
      <c r="F40" s="5"/>
      <c r="G40" s="5"/>
      <c r="H40" s="6"/>
      <c r="I40" s="7"/>
      <c r="J40" s="7"/>
      <c r="K40" s="7"/>
      <c r="L40" s="7"/>
      <c r="M40" s="8"/>
      <c r="N40" s="4"/>
      <c r="O40" s="9"/>
      <c r="P40" s="9"/>
    </row>
  </sheetData>
  <mergeCells count="1">
    <mergeCell ref="A1:P1"/>
  </mergeCells>
  <conditionalFormatting sqref="H3:H7">
    <cfRule type="colorScale" priority="1">
      <colorScale>
        <cfvo type="num" val="6"/>
        <cfvo type="num" val="8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3" sqref="C3"/>
    </sheetView>
  </sheetViews>
  <sheetFormatPr defaultRowHeight="15" x14ac:dyDescent="0.25"/>
  <cols>
    <col min="1" max="1" width="26" customWidth="1"/>
    <col min="2" max="2" width="58" customWidth="1"/>
    <col min="3" max="3" width="46" customWidth="1"/>
  </cols>
  <sheetData>
    <row r="1" spans="1:3" ht="18.75" x14ac:dyDescent="0.3">
      <c r="A1" s="18" t="s">
        <v>30</v>
      </c>
      <c r="B1" s="19"/>
      <c r="C1" s="19"/>
    </row>
    <row r="2" spans="1:3" x14ac:dyDescent="0.25">
      <c r="A2" s="2" t="s">
        <v>194</v>
      </c>
      <c r="B2" s="2" t="s">
        <v>195</v>
      </c>
      <c r="C2" s="2" t="s">
        <v>196</v>
      </c>
    </row>
    <row r="3" spans="1:3" ht="30" x14ac:dyDescent="0.25">
      <c r="A3" s="4" t="s">
        <v>197</v>
      </c>
      <c r="B3" s="4" t="s">
        <v>198</v>
      </c>
      <c r="C3" s="16" t="s">
        <v>199</v>
      </c>
    </row>
    <row r="4" spans="1:3" ht="30" x14ac:dyDescent="0.25">
      <c r="A4" s="4" t="s">
        <v>200</v>
      </c>
      <c r="B4" s="4" t="s">
        <v>201</v>
      </c>
      <c r="C4" s="7" t="s">
        <v>202</v>
      </c>
    </row>
    <row r="5" spans="1:3" ht="30" x14ac:dyDescent="0.25">
      <c r="A5" s="4" t="s">
        <v>203</v>
      </c>
      <c r="B5" s="4" t="s">
        <v>204</v>
      </c>
      <c r="C5" s="7" t="s">
        <v>205</v>
      </c>
    </row>
    <row r="6" spans="1:3" ht="45" x14ac:dyDescent="0.25">
      <c r="A6" s="4" t="s">
        <v>206</v>
      </c>
      <c r="B6" s="4" t="s">
        <v>207</v>
      </c>
      <c r="C6" s="7" t="s">
        <v>208</v>
      </c>
    </row>
    <row r="7" spans="1:3" ht="30" x14ac:dyDescent="0.25">
      <c r="A7" s="4" t="s">
        <v>209</v>
      </c>
      <c r="B7" s="4" t="s">
        <v>210</v>
      </c>
      <c r="C7" s="7" t="s">
        <v>211</v>
      </c>
    </row>
  </sheetData>
  <mergeCells count="1">
    <mergeCell ref="A1:C1"/>
  </mergeCells>
  <hyperlinks>
    <hyperlink ref="C3" r:id="rId1" xr:uid="{788B5269-F836-40DF-9C55-6A6BC2675676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sqref="A1:D1"/>
    </sheetView>
  </sheetViews>
  <sheetFormatPr defaultRowHeight="15" x14ac:dyDescent="0.25"/>
  <cols>
    <col min="1" max="1" width="26" customWidth="1"/>
    <col min="2" max="2" width="45" customWidth="1"/>
    <col min="3" max="4" width="25" customWidth="1"/>
  </cols>
  <sheetData>
    <row r="1" spans="1:4" ht="18.75" x14ac:dyDescent="0.3">
      <c r="A1" s="18" t="s">
        <v>212</v>
      </c>
      <c r="B1" s="19"/>
      <c r="C1" s="19"/>
      <c r="D1" s="19"/>
    </row>
    <row r="3" spans="1:4" x14ac:dyDescent="0.25">
      <c r="A3" s="1" t="s">
        <v>213</v>
      </c>
      <c r="B3" s="21" t="s">
        <v>214</v>
      </c>
      <c r="C3" s="19"/>
      <c r="D3" s="19"/>
    </row>
    <row r="4" spans="1:4" x14ac:dyDescent="0.25">
      <c r="B4" s="19"/>
      <c r="C4" s="19"/>
      <c r="D4" s="19"/>
    </row>
    <row r="5" spans="1:4" x14ac:dyDescent="0.25">
      <c r="B5" s="19"/>
      <c r="C5" s="19"/>
      <c r="D5" s="19"/>
    </row>
    <row r="6" spans="1:4" x14ac:dyDescent="0.25">
      <c r="B6" s="19"/>
      <c r="C6" s="19"/>
      <c r="D6" s="19"/>
    </row>
    <row r="7" spans="1:4" x14ac:dyDescent="0.25">
      <c r="B7" s="19"/>
      <c r="C7" s="19"/>
      <c r="D7" s="19"/>
    </row>
    <row r="9" spans="1:4" x14ac:dyDescent="0.25">
      <c r="A9" s="1" t="s">
        <v>215</v>
      </c>
      <c r="B9" s="21" t="s">
        <v>216</v>
      </c>
      <c r="C9" s="19"/>
      <c r="D9" s="19"/>
    </row>
    <row r="10" spans="1:4" x14ac:dyDescent="0.25">
      <c r="B10" s="19"/>
      <c r="C10" s="19"/>
      <c r="D10" s="19"/>
    </row>
    <row r="11" spans="1:4" x14ac:dyDescent="0.25">
      <c r="B11" s="19"/>
      <c r="C11" s="19"/>
      <c r="D11" s="19"/>
    </row>
    <row r="12" spans="1:4" x14ac:dyDescent="0.25">
      <c r="B12" s="19"/>
      <c r="C12" s="19"/>
      <c r="D12" s="19"/>
    </row>
    <row r="13" spans="1:4" x14ac:dyDescent="0.25">
      <c r="B13" s="19"/>
      <c r="C13" s="19"/>
      <c r="D13" s="19"/>
    </row>
    <row r="15" spans="1:4" x14ac:dyDescent="0.25">
      <c r="A15" s="1" t="s">
        <v>217</v>
      </c>
      <c r="B15" s="21" t="s">
        <v>218</v>
      </c>
      <c r="C15" s="19"/>
      <c r="D15" s="19"/>
    </row>
    <row r="16" spans="1:4" x14ac:dyDescent="0.25">
      <c r="B16" s="19"/>
      <c r="C16" s="19"/>
      <c r="D16" s="19"/>
    </row>
    <row r="17" spans="2:4" x14ac:dyDescent="0.25">
      <c r="B17" s="19"/>
      <c r="C17" s="19"/>
      <c r="D17" s="19"/>
    </row>
    <row r="18" spans="2:4" x14ac:dyDescent="0.25">
      <c r="B18" s="19"/>
      <c r="C18" s="19"/>
      <c r="D18" s="19"/>
    </row>
    <row r="19" spans="2:4" x14ac:dyDescent="0.25">
      <c r="B19" s="19"/>
      <c r="C19" s="19"/>
      <c r="D19" s="19"/>
    </row>
  </sheetData>
  <mergeCells count="4">
    <mergeCell ref="A1:D1"/>
    <mergeCell ref="B15:D19"/>
    <mergeCell ref="B9:D13"/>
    <mergeCell ref="B3:D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activeCell="A19" sqref="A19"/>
    </sheetView>
  </sheetViews>
  <sheetFormatPr defaultRowHeight="15" x14ac:dyDescent="0.25"/>
  <cols>
    <col min="1" max="1" width="30" customWidth="1"/>
    <col min="2" max="2" width="24" customWidth="1"/>
    <col min="3" max="3" width="18" customWidth="1"/>
    <col min="4" max="5" width="12" customWidth="1"/>
    <col min="6" max="6" width="14" customWidth="1"/>
    <col min="7" max="7" width="28" customWidth="1"/>
    <col min="8" max="8" width="53.5703125" customWidth="1"/>
  </cols>
  <sheetData>
    <row r="1" spans="1:8" ht="18.75" x14ac:dyDescent="0.3">
      <c r="A1" s="18" t="s">
        <v>219</v>
      </c>
      <c r="B1" s="19"/>
      <c r="C1" s="19"/>
      <c r="D1" s="19"/>
      <c r="E1" s="19"/>
      <c r="F1" s="19"/>
      <c r="G1" s="19"/>
      <c r="H1" s="19"/>
    </row>
    <row r="2" spans="1:8" x14ac:dyDescent="0.25">
      <c r="A2" s="2" t="s">
        <v>36</v>
      </c>
      <c r="B2" s="2" t="s">
        <v>220</v>
      </c>
      <c r="C2" s="2" t="s">
        <v>221</v>
      </c>
      <c r="D2" s="2" t="s">
        <v>222</v>
      </c>
      <c r="E2" s="2" t="s">
        <v>51</v>
      </c>
      <c r="F2" s="2" t="s">
        <v>223</v>
      </c>
      <c r="G2" s="2" t="s">
        <v>224</v>
      </c>
      <c r="H2" s="2" t="s">
        <v>225</v>
      </c>
    </row>
    <row r="3" spans="1:8" ht="30" x14ac:dyDescent="0.25">
      <c r="A3" s="11" t="str">
        <f>Companies!A3</f>
        <v>Extreme Engineering Solutions (X-ES)</v>
      </c>
      <c r="B3" s="10" t="s">
        <v>232</v>
      </c>
      <c r="C3" s="10"/>
      <c r="D3" s="12"/>
      <c r="E3" s="13" t="str">
        <f t="shared" ref="E3:E18" si="0">IF(D3&lt;&gt;"",D3+7,"")</f>
        <v/>
      </c>
      <c r="F3" s="10" t="s">
        <v>226</v>
      </c>
      <c r="G3" s="10" t="s">
        <v>227</v>
      </c>
      <c r="H3" t="s">
        <v>231</v>
      </c>
    </row>
    <row r="4" spans="1:8" x14ac:dyDescent="0.25">
      <c r="A4" s="11" t="str">
        <f>Companies!A4</f>
        <v>i3 Product Development</v>
      </c>
      <c r="B4" s="10" t="s">
        <v>232</v>
      </c>
      <c r="C4" s="10"/>
      <c r="D4" s="12"/>
      <c r="E4" s="13" t="str">
        <f t="shared" si="0"/>
        <v/>
      </c>
      <c r="F4" s="10" t="s">
        <v>226</v>
      </c>
      <c r="G4" s="10" t="s">
        <v>227</v>
      </c>
      <c r="H4" t="s">
        <v>233</v>
      </c>
    </row>
    <row r="5" spans="1:8" x14ac:dyDescent="0.25">
      <c r="A5" s="11" t="str">
        <f>Companies!A5</f>
        <v>SixLine Semiconductor</v>
      </c>
      <c r="B5" s="10" t="s">
        <v>232</v>
      </c>
      <c r="C5" s="10"/>
      <c r="D5" s="12"/>
      <c r="E5" s="13" t="str">
        <f t="shared" si="0"/>
        <v/>
      </c>
      <c r="F5" s="10" t="s">
        <v>226</v>
      </c>
      <c r="G5" s="10" t="s">
        <v>227</v>
      </c>
      <c r="H5" t="s">
        <v>234</v>
      </c>
    </row>
    <row r="6" spans="1:8" x14ac:dyDescent="0.25">
      <c r="A6" s="11" t="str">
        <f>Companies!A6</f>
        <v>Sound Devices</v>
      </c>
      <c r="B6" s="10"/>
      <c r="C6" s="10"/>
      <c r="D6" s="12"/>
      <c r="E6" s="13" t="str">
        <f t="shared" si="0"/>
        <v/>
      </c>
      <c r="F6" s="10" t="s">
        <v>226</v>
      </c>
      <c r="G6" s="10" t="s">
        <v>227</v>
      </c>
      <c r="H6" s="10" t="s">
        <v>227</v>
      </c>
    </row>
    <row r="7" spans="1:8" x14ac:dyDescent="0.25">
      <c r="A7" s="11" t="str">
        <f>Companies!A7</f>
        <v>Sub-Zero Group</v>
      </c>
      <c r="B7" s="10"/>
      <c r="C7" s="10"/>
      <c r="D7" s="12"/>
      <c r="E7" s="13" t="str">
        <f t="shared" si="0"/>
        <v/>
      </c>
      <c r="F7" s="10" t="s">
        <v>226</v>
      </c>
      <c r="G7" s="10" t="s">
        <v>227</v>
      </c>
      <c r="H7" s="10" t="s">
        <v>227</v>
      </c>
    </row>
    <row r="8" spans="1:8" x14ac:dyDescent="0.25">
      <c r="A8" s="11" t="str">
        <f>Companies!A8</f>
        <v>Johnson Health Tech</v>
      </c>
      <c r="B8" s="10"/>
      <c r="C8" s="10"/>
      <c r="D8" s="12"/>
      <c r="E8" s="13" t="str">
        <f t="shared" si="0"/>
        <v/>
      </c>
      <c r="F8" s="10" t="s">
        <v>226</v>
      </c>
      <c r="G8" s="10" t="s">
        <v>227</v>
      </c>
      <c r="H8" s="10" t="s">
        <v>227</v>
      </c>
    </row>
    <row r="9" spans="1:8" x14ac:dyDescent="0.25">
      <c r="A9" s="11" t="str">
        <f>Companies!A9</f>
        <v>Promega</v>
      </c>
      <c r="B9" s="10"/>
      <c r="C9" s="10"/>
      <c r="D9" s="12"/>
      <c r="E9" s="13" t="str">
        <f t="shared" si="0"/>
        <v/>
      </c>
      <c r="F9" s="10" t="s">
        <v>226</v>
      </c>
      <c r="G9" s="10" t="s">
        <v>227</v>
      </c>
      <c r="H9" s="10" t="s">
        <v>227</v>
      </c>
    </row>
    <row r="10" spans="1:8" x14ac:dyDescent="0.25">
      <c r="A10" s="11" t="str">
        <f>Companies!A10</f>
        <v>Springs Window Fashions</v>
      </c>
      <c r="B10" s="10"/>
      <c r="C10" s="10"/>
      <c r="D10" s="12"/>
      <c r="E10" s="13" t="str">
        <f t="shared" si="0"/>
        <v/>
      </c>
      <c r="F10" s="10" t="s">
        <v>226</v>
      </c>
      <c r="G10" s="10" t="s">
        <v>227</v>
      </c>
      <c r="H10" s="10" t="s">
        <v>227</v>
      </c>
    </row>
    <row r="11" spans="1:8" x14ac:dyDescent="0.25">
      <c r="A11" s="11" t="str">
        <f>Companies!A11</f>
        <v>Qolab</v>
      </c>
      <c r="B11" s="10"/>
      <c r="C11" s="10"/>
      <c r="D11" s="12"/>
      <c r="E11" s="13" t="str">
        <f t="shared" si="0"/>
        <v/>
      </c>
      <c r="F11" s="10" t="s">
        <v>226</v>
      </c>
      <c r="G11" s="10" t="s">
        <v>227</v>
      </c>
      <c r="H11" s="10" t="s">
        <v>227</v>
      </c>
    </row>
    <row r="12" spans="1:8" ht="30" x14ac:dyDescent="0.25">
      <c r="A12" s="11" t="str">
        <f>Companies!A12</f>
        <v>CAMECA Instruments (Atom Probe Technology Center)</v>
      </c>
      <c r="B12" s="10"/>
      <c r="C12" s="10"/>
      <c r="D12" s="12"/>
      <c r="E12" s="13" t="str">
        <f t="shared" si="0"/>
        <v/>
      </c>
      <c r="F12" s="10" t="s">
        <v>226</v>
      </c>
      <c r="G12" s="10" t="s">
        <v>227</v>
      </c>
      <c r="H12" s="10" t="s">
        <v>227</v>
      </c>
    </row>
    <row r="13" spans="1:8" x14ac:dyDescent="0.25">
      <c r="A13" s="11" t="str">
        <f>Companies!A13</f>
        <v>Infleqtion</v>
      </c>
      <c r="B13" s="10"/>
      <c r="C13" s="10"/>
      <c r="D13" s="12"/>
      <c r="E13" s="13" t="str">
        <f t="shared" si="0"/>
        <v/>
      </c>
      <c r="F13" s="10" t="s">
        <v>226</v>
      </c>
      <c r="G13" s="10" t="s">
        <v>227</v>
      </c>
      <c r="H13" s="10" t="s">
        <v>227</v>
      </c>
    </row>
    <row r="14" spans="1:8" x14ac:dyDescent="0.25">
      <c r="A14" s="11" t="str">
        <f>Companies!A14</f>
        <v>Thermo Fisher Scientific</v>
      </c>
      <c r="B14" s="10"/>
      <c r="C14" s="10"/>
      <c r="D14" s="12"/>
      <c r="E14" s="13" t="str">
        <f t="shared" si="0"/>
        <v/>
      </c>
      <c r="F14" s="10" t="s">
        <v>226</v>
      </c>
      <c r="G14" s="10" t="s">
        <v>227</v>
      </c>
      <c r="H14" s="10" t="s">
        <v>227</v>
      </c>
    </row>
    <row r="15" spans="1:8" x14ac:dyDescent="0.25">
      <c r="A15" s="11" t="str">
        <f>Companies!A15</f>
        <v>SHINE Technologies</v>
      </c>
      <c r="B15" s="10"/>
      <c r="C15" s="10"/>
      <c r="D15" s="12"/>
      <c r="E15" s="13" t="str">
        <f t="shared" si="0"/>
        <v/>
      </c>
      <c r="F15" s="10" t="s">
        <v>226</v>
      </c>
      <c r="G15" s="10" t="s">
        <v>227</v>
      </c>
      <c r="H15" s="10" t="s">
        <v>227</v>
      </c>
    </row>
    <row r="16" spans="1:8" ht="30" x14ac:dyDescent="0.25">
      <c r="A16" s="11" t="str">
        <f>Companies!A16</f>
        <v>NorthStar Medical Radioisotopes</v>
      </c>
      <c r="B16" s="10"/>
      <c r="C16" s="10"/>
      <c r="D16" s="12"/>
      <c r="E16" s="13" t="str">
        <f t="shared" si="0"/>
        <v/>
      </c>
      <c r="F16" s="10" t="s">
        <v>226</v>
      </c>
      <c r="G16" s="10" t="s">
        <v>227</v>
      </c>
      <c r="H16" s="10" t="s">
        <v>227</v>
      </c>
    </row>
    <row r="17" spans="1:8" x14ac:dyDescent="0.25">
      <c r="A17" s="11" t="str">
        <f>Companies!A17</f>
        <v>ABS Global / Genus</v>
      </c>
      <c r="B17" s="10"/>
      <c r="C17" s="10"/>
      <c r="D17" s="12"/>
      <c r="E17" s="13" t="str">
        <f t="shared" si="0"/>
        <v/>
      </c>
      <c r="F17" s="10" t="s">
        <v>226</v>
      </c>
      <c r="G17" s="10" t="s">
        <v>227</v>
      </c>
      <c r="H17" s="10" t="s">
        <v>227</v>
      </c>
    </row>
    <row r="18" spans="1:8" x14ac:dyDescent="0.25">
      <c r="A18" s="11" t="str">
        <f>Companies!A18</f>
        <v>Type One Energy</v>
      </c>
      <c r="B18" s="10"/>
      <c r="C18" s="10"/>
      <c r="D18" s="12"/>
      <c r="E18" s="13" t="str">
        <f t="shared" si="0"/>
        <v/>
      </c>
      <c r="F18" s="10" t="s">
        <v>226</v>
      </c>
      <c r="G18" s="10" t="s">
        <v>227</v>
      </c>
      <c r="H18" s="10" t="s">
        <v>227</v>
      </c>
    </row>
    <row r="19" spans="1:8" x14ac:dyDescent="0.25">
      <c r="A19" s="10" t="s">
        <v>235</v>
      </c>
      <c r="B19" s="10"/>
      <c r="C19" s="10"/>
      <c r="D19" s="10"/>
      <c r="E19" s="10"/>
      <c r="F19" s="10"/>
      <c r="G19" s="10"/>
      <c r="H19" s="10"/>
    </row>
    <row r="20" spans="1:8" x14ac:dyDescent="0.25">
      <c r="A20" s="10"/>
      <c r="B20" s="10"/>
      <c r="C20" s="10"/>
      <c r="D20" s="10"/>
      <c r="E20" s="10"/>
      <c r="F20" s="10"/>
      <c r="G20" s="10"/>
      <c r="H20" s="10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Start_Here</vt:lpstr>
      <vt:lpstr>Clubs</vt:lpstr>
      <vt:lpstr>Research</vt:lpstr>
      <vt:lpstr>Companies</vt:lpstr>
      <vt:lpstr>Resources</vt:lpstr>
      <vt:lpstr>Outreach_Template</vt:lpstr>
      <vt:lpstr>Tracker_Blank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BurgShot Homie</cp:lastModifiedBy>
  <dcterms:modified xsi:type="dcterms:W3CDTF">2026-06-02T17:12:35Z</dcterms:modified>
</cp:coreProperties>
</file>